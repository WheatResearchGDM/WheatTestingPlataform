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9a916bc2d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11186bfd822942d0"/>
    <x:sheet xmlns:r="http://schemas.openxmlformats.org/officeDocument/2006/relationships" name="Planejamento Unificado" sheetId="2" r:id="Reaea6fd1019d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dd/mm/yyyy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4B38"/>
      <x:name val="Carlito"/>
    </x:font>
    <x:font>
      <x:b/>
      <x:sz val="11"/>
      <x:color rgb="FF17382B"/>
      <x:name val="Carlito"/>
    </x:font>
    <x:font>
      <x:b/>
      <x:sz val="17"/>
      <x:color rgb="FFFFFFFF"/>
      <x:name val="Carlito"/>
    </x:font>
    <x:font>
      <x:b/>
      <x:sz val="11"/>
      <x:color rgb="FF73520B"/>
      <x:name val="Carlito"/>
    </x:font>
    <x:font>
      <x:b/>
      <x:sz val="11"/>
      <x:color rgb="FF39433E"/>
      <x:name val="Carlito"/>
    </x:font>
    <x:font>
      <x:b/>
      <x:sz val="11"/>
      <x:color rgb="FFFFFFFF"/>
      <x:name val="Carlito"/>
    </x:font>
    <x:font>
      <x:b/>
      <x:sz val="11"/>
      <x:color rgb="FF26302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4B38"/>
      </x:patternFill>
    </x:fill>
    <x:fill>
      <x:patternFill patternType="solid">
        <x:fgColor rgb="FFE8F1EC"/>
      </x:patternFill>
    </x:fill>
    <x:fill>
      <x:patternFill patternType="solid">
        <x:fgColor rgb="FFD9A441"/>
      </x:patternFill>
    </x:fill>
    <x:fill>
      <x:patternFill patternType="solid">
        <x:fgColor rgb="FFFFF3D4"/>
      </x:patternFill>
    </x:fill>
    <x:fill>
      <x:patternFill patternType="solid">
        <x:fgColor rgb="FFE8ECEA"/>
      </x:patternFill>
    </x:fill>
    <x:fill>
      <x:patternFill patternType="solid">
        <x:fgColor rgb="FFAEB8B3"/>
      </x:patternFill>
    </x:fill>
    <x:fill>
      <x:patternFill patternType="solid">
        <x:fgColor rgb="FFF7FAF8"/>
      </x:patternFill>
    </x:fill>
    <x:fill>
      <x:patternFill patternType="solid">
        <x:fgColor rgb="FFFFFBF1"/>
      </x:patternFill>
    </x:fill>
    <x:fill>
      <x:patternFill patternType="solid">
        <x:fgColor rgb="FFF0F2F1"/>
      </x:patternFill>
    </x:fill>
  </x:fills>
  <x:borders count="2">
    <x:border/>
    <x:border>
      <x:left style="thin">
        <x:color rgb="FFC9D2CD"/>
      </x:left>
      <x:right style="thin">
        <x:color rgb="FFC9D2CD"/>
      </x:right>
      <x:top style="thin">
        <x:color rgb="FFC9D2CD"/>
      </x:top>
      <x:bottom style="thin">
        <x:color rgb="FFC9D2C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9" borderId="1" xfId="0" applyNumberFormat="1" applyFont="1" applyFill="1" applyBorder="1"/>
    <x:xf numFmtId="0" fontId="0" fillId="10" borderId="1" xfId="0" applyNumberFormat="1" applyFont="1" applyFill="1" applyBorder="1"/>
    <x:xf numFmtId="0" fontId="0" fillId="8" borderId="1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vertical="center" wrapText="1"/>
    </x:xf>
    <x:xf numFmtId="201" fontId="0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21ec46ba44384" /><Relationship Type="http://schemas.openxmlformats.org/officeDocument/2006/relationships/theme" Target="/xl/theme/theme1.xml" Id="R94019624c94543cb" /><Relationship Type="http://schemas.openxmlformats.org/officeDocument/2006/relationships/sharedStrings" Target="/xl/sharedStrings.xml" Id="R1ecbf23501314035" /><Relationship Type="http://schemas.openxmlformats.org/officeDocument/2006/relationships/worksheet" Target="/xl/worksheets/sheet1.xml" Id="R11186bfd822942d0" /><Relationship Type="http://schemas.openxmlformats.org/officeDocument/2006/relationships/worksheet" Target="/xl/worksheets/sheet2.xml" Id="Reaea6fd1019d47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8" hidden="0" customWidth="1"/>
  </x:cols>
  <x:sheetData>
    <x:row r="1" ht="34" customHeight="1">
      <x:c r="A1" s="2" t="str">
        <x:v>FIELD WHEAT TESTING — PLANILHA OPERACIONAL UNIFICADA</x:v>
      </x:c>
    </x:row>
    <x:row r="3" ht="34" customHeight="1">
      <x:c r="A3" s="5" t="str">
        <x:v>Uma linha representa uma visita/atividade planejada para um ensaio. A mesma linha recebe o registro realizado e gera o relatório final.</x:v>
      </x:c>
    </x:row>
    <x:row r="5">
      <x:c r="A5" s="8" t="str">
        <x:v>COMO USAR</x:v>
      </x:c>
      <x:c r="B5" s="8" t="str"/>
    </x:row>
    <x:row r="6">
      <x:c r="A6" s="9" t="str">
        <x:v>1</x:v>
      </x:c>
      <x:c r="B6" s="9" t="str">
        <x:v>Preencha as colunas verdes (A:U) para planejar locais, ensaios e visitas.</x:v>
      </x:c>
    </x:row>
    <x:row r="7">
      <x:c r="A7" s="9" t="str">
        <x:v>2</x:v>
      </x:c>
      <x:c r="B7" s="9" t="str">
        <x:v>Na aba Gerenciamento, selecione a planilha, valide e clique em Carregar planejamento.</x:v>
      </x:c>
    </x:row>
    <x:row r="8">
      <x:c r="A8" s="9" t="str">
        <x:v>3</x:v>
      </x:c>
      <x:c r="B8" s="9" t="str">
        <x:v>Execute os registros no aplicativo; as colunas douradas (V:AG) serão preenchidas no arquivo de saída.</x:v>
      </x:c>
    </x:row>
    <x:row r="9">
      <x:c r="A9" s="9" t="str">
        <x:v>4</x:v>
      </x:c>
      <x:c r="B9" s="9" t="str">
        <x:v>Exporte o relatório final unificado pelo Gerenciamento.</x:v>
      </x:c>
    </x:row>
    <x:row r="10">
      <x:c r="A10" s="9" t="str">
        <x:v>Regra</x:v>
      </x:c>
      <x:c r="B10" s="9" t="str">
        <x:v>Não altere os nomes das colunas. Use códigos únicos para local, campo, ensaio e visita.</x:v>
      </x:c>
    </x:row>
    <x:row r="11">
      <x:c r="A11" s="9" t="str">
        <x:v>Qualidade</x:v>
      </x:c>
      <x:c r="B11" s="9" t="str">
        <x:v>A nota final (0–100) e a classificação são calculadas automaticamente nas colunas cinza.</x:v>
      </x:c>
    </x:row>
    <x:row r="12">
      <x:c r="A12" s="9" t="str">
        <x:v>Safras</x:v>
      </x:c>
      <x:c r="B12" s="9" t="str">
        <x:v>A planilha é carregada na safra ativa selecionada no aplicativo. Para uma nova safra, escolha copiar o planejamento anterior ou começar vazio.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8" hidden="0" customWidth="1"/>
    <x:col min="5" max="5" width="13" hidden="0" customWidth="1"/>
    <x:col min="6" max="6" width="13" hidden="0" customWidth="1"/>
    <x:col min="7" max="7" width="14" hidden="0" customWidth="1"/>
    <x:col min="8" max="8" width="16" hidden="0" customWidth="1"/>
    <x:col min="9" max="9" width="25" hidden="0" customWidth="1"/>
    <x:col min="10" max="10" width="18" hidden="0" customWidth="1"/>
    <x:col min="11" max="11" width="28" hidden="0" customWidth="1"/>
    <x:col min="12" max="12" width="20" hidden="0" customWidth="1"/>
    <x:col min="13" max="13" width="11" hidden="0" customWidth="1"/>
    <x:col min="14" max="14" width="18" hidden="0" customWidth="1"/>
    <x:col min="15" max="15" width="18" hidden="0" customWidth="1"/>
    <x:col min="16" max="16" width="34" hidden="0" customWidth="1"/>
    <x:col min="17" max="17" width="22" hidden="0" customWidth="1"/>
    <x:col min="18" max="18" width="18" hidden="0" customWidth="1"/>
    <x:col min="19" max="19" width="22" hidden="0" customWidth="1"/>
    <x:col min="20" max="20" width="14" hidden="0" customWidth="1"/>
    <x:col min="21" max="21" width="20" hidden="0" customWidth="1"/>
    <x:col min="22" max="22" width="18" hidden="0" customWidth="1"/>
    <x:col min="23" max="23" width="20" hidden="0" customWidth="1"/>
    <x:col min="24" max="24" width="20" hidden="0" customWidth="1"/>
    <x:col min="25" max="25" width="20" hidden="0" customWidth="1"/>
    <x:col min="26" max="26" width="18" hidden="0" customWidth="1"/>
    <x:col min="27" max="27" width="16" hidden="0" customWidth="1"/>
    <x:col min="28" max="28" width="22" hidden="0" customWidth="1"/>
    <x:col min="29" max="29" width="15" hidden="0" customWidth="1"/>
    <x:col min="30" max="30" width="15" hidden="0" customWidth="1"/>
    <x:col min="31" max="31" width="15" hidden="0" customWidth="1"/>
    <x:col min="32" max="32" width="42" hidden="0" customWidth="1"/>
    <x:col min="33" max="33" width="28" hidden="0" customWidth="1"/>
    <x:col min="34" max="34" width="17" hidden="0" customWidth="1"/>
    <x:col min="35" max="35" width="18" hidden="0" customWidth="1"/>
  </x:cols>
  <x:sheetData>
    <x:row r="1" ht="32" customHeight="1">
      <x:c r="A1" s="10" t="str">
        <x:v>FIELD WHEAT TESTING — PLANEJAMENTO, REGISTRO E RESULTADO</x:v>
      </x:c>
    </x:row>
    <x:row r="2">
      <x:c r="A2" s="11" t="str">
        <x:v>PLANEJAMENTO — preenchido pelo administrador</x:v>
      </x:c>
      <x:c r="V2" s="14" t="str">
        <x:v>REGISTRO DE CAMPO — preenchido pelo aplicativo</x:v>
      </x:c>
      <x:c r="AH2" s="17" t="str">
        <x:v>CÁLCULO</x:v>
      </x:c>
    </x:row>
    <x:row r="3" ht="42" customHeight="1">
      <x:c r="A3" s="24" t="str">
        <x:v>local_codigo</x:v>
      </x:c>
      <x:c r="B3" s="24" t="str">
        <x:v>local_nome</x:v>
      </x:c>
      <x:c r="C3" s="24" t="str">
        <x:v>municipio</x:v>
      </x:c>
      <x:c r="D3" s="24" t="str">
        <x:v>uf</x:v>
      </x:c>
      <x:c r="E3" s="24" t="str">
        <x:v>latitude</x:v>
      </x:c>
      <x:c r="F3" s="24" t="str">
        <x:v>longitude</x:v>
      </x:c>
      <x:c r="G3" s="24" t="str">
        <x:v>vcu_regiao</x:v>
      </x:c>
      <x:c r="H3" s="24" t="str">
        <x:v>campo_codigo</x:v>
      </x:c>
      <x:c r="I3" s="24" t="str">
        <x:v>campo_nome</x:v>
      </x:c>
      <x:c r="J3" s="24" t="str">
        <x:v>ensaio_codigo</x:v>
      </x:c>
      <x:c r="K3" s="24" t="str">
        <x:v>ensaio_nome</x:v>
      </x:c>
      <x:c r="L3" s="24" t="str">
        <x:v>grupo</x:v>
      </x:c>
      <x:c r="M3" s="24" t="str">
        <x:v>parcelas</x:v>
      </x:c>
      <x:c r="N3" s="24" t="str">
        <x:v>data_semeadura</x:v>
      </x:c>
      <x:c r="O3" s="24" t="str">
        <x:v>visita_codigo</x:v>
      </x:c>
      <x:c r="P3" s="24" t="str">
        <x:v>atividade_descricao</x:v>
      </x:c>
      <x:c r="Q3" s="24" t="str">
        <x:v>estadio_fenologico</x:v>
      </x:c>
      <x:c r="R3" s="24" t="str">
        <x:v>data_prevista</x:v>
      </x:c>
      <x:c r="S3" s="24" t="str">
        <x:v>responsavel</x:v>
      </x:c>
      <x:c r="T3" s="24" t="str">
        <x:v>prioridade</x:v>
      </x:c>
      <x:c r="U3" s="24" t="str">
        <x:v>status_planejamento</x:v>
      </x:c>
      <x:c r="V3" s="25" t="str">
        <x:v>data_realizada</x:v>
      </x:c>
      <x:c r="W3" s="25" t="str">
        <x:v>checklist_concluido</x:v>
      </x:c>
      <x:c r="X3" s="25" t="str">
        <x:v>qualidade_grupo_nota</x:v>
      </x:c>
      <x:c r="Y3" s="25" t="str">
        <x:v>estabelecimento_nota</x:v>
      </x:c>
      <x:c r="Z3" s="25" t="str">
        <x:v>uniformidade_nota</x:v>
      </x:c>
      <x:c r="AA3" s="25" t="str">
        <x:v>daninhas_nota</x:v>
      </x:c>
      <x:c r="AB3" s="25" t="str">
        <x:v>controle_daninhas</x:v>
      </x:c>
      <x:c r="AC3" s="25" t="str">
        <x:v>oidio_nota</x:v>
      </x:c>
      <x:c r="AD3" s="25" t="str">
        <x:v>ferrugem_nota</x:v>
      </x:c>
      <x:c r="AE3" s="25" t="str">
        <x:v>manchas_nota</x:v>
      </x:c>
      <x:c r="AF3" s="25" t="str">
        <x:v>observacoes</x:v>
      </x:c>
      <x:c r="AG3" s="25" t="str">
        <x:v>fotos</x:v>
      </x:c>
      <x:c r="AH3" s="26" t="str">
        <x:v>nota_qualidade</x:v>
      </x:c>
      <x:c r="AI3" s="26" t="str">
        <x:v>classificacao</x:v>
      </x:c>
    </x:row>
    <x:row r="4">
      <x:c r="A4" s="33"/>
      <x:c r="B4" s="33"/>
      <x:c r="C4" s="33"/>
      <x:c r="D4" s="33"/>
      <x:c r="E4" s="36"/>
      <x:c r="F4" s="36"/>
      <x:c r="G4" s="33"/>
      <x:c r="H4" s="33"/>
      <x:c r="I4" s="33"/>
      <x:c r="J4" s="33"/>
      <x:c r="K4" s="33"/>
      <x:c r="L4" s="33"/>
      <x:c r="M4" s="33"/>
      <x:c r="N4" s="37"/>
      <x:c r="O4" s="33"/>
      <x:c r="P4" s="33"/>
      <x:c r="Q4" s="33"/>
      <x:c r="R4" s="37"/>
      <x:c r="S4" s="33"/>
      <x:c r="T4" s="33"/>
      <x:c r="U4" s="33"/>
      <x:c r="V4" s="38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  <x:c r="AG4" s="34"/>
      <x:c r="AH4" s="35" t="str">
        <x:f>IF(COUNTA(X4:AA4)&lt;4,"",ROUND((X4*20)*45%+(((Y4-1)/4*100)*30%+((Z4-1)/4*100)*25%+(1-(AA4-1)/4)*100*25%+(1-(MAX(1,AC4:AE4)-1)/4)*100*20%)*55%,0))</x:f>
      </x:c>
      <x:c r="AI4" s="35" t="str">
        <x:f>IF(AH4="","",IF(AH4&gt;=85,"Excelente",IF(AH4&gt;=70,"Adequado",IF(AH4&gt;=50,"Atenção","Crítico"))))</x:f>
      </x:c>
    </x:row>
    <x:row r="5">
      <x:c r="A5" s="33"/>
      <x:c r="B5" s="33"/>
      <x:c r="C5" s="33"/>
      <x:c r="D5" s="33"/>
      <x:c r="E5" s="36"/>
      <x:c r="F5" s="36"/>
      <x:c r="G5" s="33"/>
      <x:c r="H5" s="33"/>
      <x:c r="I5" s="33"/>
      <x:c r="J5" s="33"/>
      <x:c r="K5" s="33"/>
      <x:c r="L5" s="33"/>
      <x:c r="M5" s="33"/>
      <x:c r="N5" s="37"/>
      <x:c r="O5" s="33"/>
      <x:c r="P5" s="33"/>
      <x:c r="Q5" s="33"/>
      <x:c r="R5" s="37"/>
      <x:c r="S5" s="33"/>
      <x:c r="T5" s="33"/>
      <x:c r="U5" s="33"/>
      <x:c r="V5" s="38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5" t="str">
        <x:f>IF(COUNTA(X5:AA5)&lt;4,"",ROUND((X5*20)*45%+(((Y5-1)/4*100)*30%+((Z5-1)/4*100)*25%+(1-(AA5-1)/4)*100*25%+(1-(MAX(1,AC5:AE5)-1)/4)*100*20%)*55%,0))</x:f>
      </x:c>
      <x:c r="AI5" s="35" t="str">
        <x:f>IF(AH5="","",IF(AH5&gt;=85,"Excelente",IF(AH5&gt;=70,"Adequado",IF(AH5&gt;=50,"Atenção","Crítico"))))</x:f>
      </x:c>
    </x:row>
    <x:row r="6">
      <x:c r="A6" s="33"/>
      <x:c r="B6" s="33"/>
      <x:c r="C6" s="33"/>
      <x:c r="D6" s="33"/>
      <x:c r="E6" s="36"/>
      <x:c r="F6" s="36"/>
      <x:c r="G6" s="33"/>
      <x:c r="H6" s="33"/>
      <x:c r="I6" s="33"/>
      <x:c r="J6" s="33"/>
      <x:c r="K6" s="33"/>
      <x:c r="L6" s="33"/>
      <x:c r="M6" s="33"/>
      <x:c r="N6" s="37"/>
      <x:c r="O6" s="33"/>
      <x:c r="P6" s="33"/>
      <x:c r="Q6" s="33"/>
      <x:c r="R6" s="37"/>
      <x:c r="S6" s="33"/>
      <x:c r="T6" s="33"/>
      <x:c r="U6" s="33"/>
      <x:c r="V6" s="38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5" t="str">
        <x:f>IF(COUNTA(X6:AA6)&lt;4,"",ROUND((X6*20)*45%+(((Y6-1)/4*100)*30%+((Z6-1)/4*100)*25%+(1-(AA6-1)/4)*100*25%+(1-(MAX(1,AC6:AE6)-1)/4)*100*20%)*55%,0))</x:f>
      </x:c>
      <x:c r="AI6" s="35" t="str">
        <x:f>IF(AH6="","",IF(AH6&gt;=85,"Excelente",IF(AH6&gt;=70,"Adequado",IF(AH6&gt;=50,"Atenção","Crítico"))))</x:f>
      </x:c>
    </x:row>
    <x:row r="7">
      <x:c r="A7" s="33"/>
      <x:c r="B7" s="33"/>
      <x:c r="C7" s="33"/>
      <x:c r="D7" s="33"/>
      <x:c r="E7" s="36"/>
      <x:c r="F7" s="36"/>
      <x:c r="G7" s="33"/>
      <x:c r="H7" s="33"/>
      <x:c r="I7" s="33"/>
      <x:c r="J7" s="33"/>
      <x:c r="K7" s="33"/>
      <x:c r="L7" s="33"/>
      <x:c r="M7" s="33"/>
      <x:c r="N7" s="37"/>
      <x:c r="O7" s="33"/>
      <x:c r="P7" s="33"/>
      <x:c r="Q7" s="33"/>
      <x:c r="R7" s="37"/>
      <x:c r="S7" s="33"/>
      <x:c r="T7" s="33"/>
      <x:c r="U7" s="33"/>
      <x:c r="V7" s="38"/>
      <x:c r="W7" s="34"/>
      <x:c r="X7" s="34"/>
      <x:c r="Y7" s="34"/>
      <x:c r="Z7" s="34"/>
      <x:c r="AA7" s="34"/>
      <x:c r="AB7" s="34"/>
      <x:c r="AC7" s="34"/>
      <x:c r="AD7" s="34"/>
      <x:c r="AE7" s="34"/>
      <x:c r="AF7" s="34"/>
      <x:c r="AG7" s="34"/>
      <x:c r="AH7" s="35" t="str">
        <x:f>IF(COUNTA(X7:AA7)&lt;4,"",ROUND((X7*20)*45%+(((Y7-1)/4*100)*30%+((Z7-1)/4*100)*25%+(1-(AA7-1)/4)*100*25%+(1-(MAX(1,AC7:AE7)-1)/4)*100*20%)*55%,0))</x:f>
      </x:c>
      <x:c r="AI7" s="35" t="str">
        <x:f>IF(AH7="","",IF(AH7&gt;=85,"Excelente",IF(AH7&gt;=70,"Adequado",IF(AH7&gt;=50,"Atenção","Crítico"))))</x:f>
      </x:c>
    </x:row>
    <x:row r="8">
      <x:c r="A8" s="33"/>
      <x:c r="B8" s="33"/>
      <x:c r="C8" s="33"/>
      <x:c r="D8" s="33"/>
      <x:c r="E8" s="36"/>
      <x:c r="F8" s="36"/>
      <x:c r="G8" s="33"/>
      <x:c r="H8" s="33"/>
      <x:c r="I8" s="33"/>
      <x:c r="J8" s="33"/>
      <x:c r="K8" s="33"/>
      <x:c r="L8" s="33"/>
      <x:c r="M8" s="33"/>
      <x:c r="N8" s="37"/>
      <x:c r="O8" s="33"/>
      <x:c r="P8" s="33"/>
      <x:c r="Q8" s="33"/>
      <x:c r="R8" s="37"/>
      <x:c r="S8" s="33"/>
      <x:c r="T8" s="33"/>
      <x:c r="U8" s="33"/>
      <x:c r="V8" s="38"/>
      <x:c r="W8" s="34"/>
      <x:c r="X8" s="34"/>
      <x:c r="Y8" s="34"/>
      <x:c r="Z8" s="34"/>
      <x:c r="AA8" s="34"/>
      <x:c r="AB8" s="34"/>
      <x:c r="AC8" s="34"/>
      <x:c r="AD8" s="34"/>
      <x:c r="AE8" s="34"/>
      <x:c r="AF8" s="34"/>
      <x:c r="AG8" s="34"/>
      <x:c r="AH8" s="35" t="str">
        <x:f>IF(COUNTA(X8:AA8)&lt;4,"",ROUND((X8*20)*45%+(((Y8-1)/4*100)*30%+((Z8-1)/4*100)*25%+(1-(AA8-1)/4)*100*25%+(1-(MAX(1,AC8:AE8)-1)/4)*100*20%)*55%,0))</x:f>
      </x:c>
      <x:c r="AI8" s="35" t="str">
        <x:f>IF(AH8="","",IF(AH8&gt;=85,"Excelente",IF(AH8&gt;=70,"Adequado",IF(AH8&gt;=50,"Atenção","Crítico"))))</x:f>
      </x:c>
    </x:row>
    <x:row r="9">
      <x:c r="A9" s="33"/>
      <x:c r="B9" s="33"/>
      <x:c r="C9" s="33"/>
      <x:c r="D9" s="33"/>
      <x:c r="E9" s="36"/>
      <x:c r="F9" s="36"/>
      <x:c r="G9" s="33"/>
      <x:c r="H9" s="33"/>
      <x:c r="I9" s="33"/>
      <x:c r="J9" s="33"/>
      <x:c r="K9" s="33"/>
      <x:c r="L9" s="33"/>
      <x:c r="M9" s="33"/>
      <x:c r="N9" s="37"/>
      <x:c r="O9" s="33"/>
      <x:c r="P9" s="33"/>
      <x:c r="Q9" s="33"/>
      <x:c r="R9" s="37"/>
      <x:c r="S9" s="33"/>
      <x:c r="T9" s="33"/>
      <x:c r="U9" s="33"/>
      <x:c r="V9" s="38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5" t="str">
        <x:f>IF(COUNTA(X9:AA9)&lt;4,"",ROUND((X9*20)*45%+(((Y9-1)/4*100)*30%+((Z9-1)/4*100)*25%+(1-(AA9-1)/4)*100*25%+(1-(MAX(1,AC9:AE9)-1)/4)*100*20%)*55%,0))</x:f>
      </x:c>
      <x:c r="AI9" s="35" t="str">
        <x:f>IF(AH9="","",IF(AH9&gt;=85,"Excelente",IF(AH9&gt;=70,"Adequado",IF(AH9&gt;=50,"Atenção","Crítico"))))</x:f>
      </x:c>
    </x:row>
    <x:row r="10">
      <x:c r="A10" s="33"/>
      <x:c r="B10" s="33"/>
      <x:c r="C10" s="33"/>
      <x:c r="D10" s="33"/>
      <x:c r="E10" s="36"/>
      <x:c r="F10" s="36"/>
      <x:c r="G10" s="33"/>
      <x:c r="H10" s="33"/>
      <x:c r="I10" s="33"/>
      <x:c r="J10" s="33"/>
      <x:c r="K10" s="33"/>
      <x:c r="L10" s="33"/>
      <x:c r="M10" s="33"/>
      <x:c r="N10" s="37"/>
      <x:c r="O10" s="33"/>
      <x:c r="P10" s="33"/>
      <x:c r="Q10" s="33"/>
      <x:c r="R10" s="37"/>
      <x:c r="S10" s="33"/>
      <x:c r="T10" s="33"/>
      <x:c r="U10" s="33"/>
      <x:c r="V10" s="38"/>
      <x:c r="W10" s="34"/>
      <x:c r="X10" s="34"/>
      <x:c r="Y10" s="34"/>
      <x:c r="Z10" s="34"/>
      <x:c r="AA10" s="34"/>
      <x:c r="AB10" s="34"/>
      <x:c r="AC10" s="34"/>
      <x:c r="AD10" s="34"/>
      <x:c r="AE10" s="34"/>
      <x:c r="AF10" s="34"/>
      <x:c r="AG10" s="34"/>
      <x:c r="AH10" s="35" t="str">
        <x:f>IF(COUNTA(X10:AA10)&lt;4,"",ROUND((X10*20)*45%+(((Y10-1)/4*100)*30%+((Z10-1)/4*100)*25%+(1-(AA10-1)/4)*100*25%+(1-(MAX(1,AC10:AE10)-1)/4)*100*20%)*55%,0))</x:f>
      </x:c>
      <x:c r="AI10" s="35" t="str">
        <x:f>IF(AH10="","",IF(AH10&gt;=85,"Excelente",IF(AH10&gt;=70,"Adequado",IF(AH10&gt;=50,"Atenção","Crítico"))))</x:f>
      </x:c>
    </x:row>
    <x:row r="11">
      <x:c r="A11" s="33"/>
      <x:c r="B11" s="33"/>
      <x:c r="C11" s="33"/>
      <x:c r="D11" s="33"/>
      <x:c r="E11" s="36"/>
      <x:c r="F11" s="36"/>
      <x:c r="G11" s="33"/>
      <x:c r="H11" s="33"/>
      <x:c r="I11" s="33"/>
      <x:c r="J11" s="33"/>
      <x:c r="K11" s="33"/>
      <x:c r="L11" s="33"/>
      <x:c r="M11" s="33"/>
      <x:c r="N11" s="37"/>
      <x:c r="O11" s="33"/>
      <x:c r="P11" s="33"/>
      <x:c r="Q11" s="33"/>
      <x:c r="R11" s="37"/>
      <x:c r="S11" s="33"/>
      <x:c r="T11" s="33"/>
      <x:c r="U11" s="33"/>
      <x:c r="V11" s="38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34"/>
      <x:c r="AG11" s="34"/>
      <x:c r="AH11" s="35" t="str">
        <x:f>IF(COUNTA(X11:AA11)&lt;4,"",ROUND((X11*20)*45%+(((Y11-1)/4*100)*30%+((Z11-1)/4*100)*25%+(1-(AA11-1)/4)*100*25%+(1-(MAX(1,AC11:AE11)-1)/4)*100*20%)*55%,0))</x:f>
      </x:c>
      <x:c r="AI11" s="35" t="str">
        <x:f>IF(AH11="","",IF(AH11&gt;=85,"Excelente",IF(AH11&gt;=70,"Adequado",IF(AH11&gt;=50,"Atenção","Crítico"))))</x:f>
      </x:c>
    </x:row>
    <x:row r="12">
      <x:c r="A12" s="33"/>
      <x:c r="B12" s="33"/>
      <x:c r="C12" s="33"/>
      <x:c r="D12" s="33"/>
      <x:c r="E12" s="36"/>
      <x:c r="F12" s="36"/>
      <x:c r="G12" s="33"/>
      <x:c r="H12" s="33"/>
      <x:c r="I12" s="33"/>
      <x:c r="J12" s="33"/>
      <x:c r="K12" s="33"/>
      <x:c r="L12" s="33"/>
      <x:c r="M12" s="33"/>
      <x:c r="N12" s="37"/>
      <x:c r="O12" s="33"/>
      <x:c r="P12" s="33"/>
      <x:c r="Q12" s="33"/>
      <x:c r="R12" s="37"/>
      <x:c r="S12" s="33"/>
      <x:c r="T12" s="33"/>
      <x:c r="U12" s="33"/>
      <x:c r="V12" s="38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34"/>
      <x:c r="AG12" s="34"/>
      <x:c r="AH12" s="35" t="str">
        <x:f>IF(COUNTA(X12:AA12)&lt;4,"",ROUND((X12*20)*45%+(((Y12-1)/4*100)*30%+((Z12-1)/4*100)*25%+(1-(AA12-1)/4)*100*25%+(1-(MAX(1,AC12:AE12)-1)/4)*100*20%)*55%,0))</x:f>
      </x:c>
      <x:c r="AI12" s="35" t="str">
        <x:f>IF(AH12="","",IF(AH12&gt;=85,"Excelente",IF(AH12&gt;=70,"Adequado",IF(AH12&gt;=50,"Atenção","Crítico"))))</x:f>
      </x:c>
    </x:row>
    <x:row r="13">
      <x:c r="A13" s="33"/>
      <x:c r="B13" s="33"/>
      <x:c r="C13" s="33"/>
      <x:c r="D13" s="33"/>
      <x:c r="E13" s="36"/>
      <x:c r="F13" s="36"/>
      <x:c r="G13" s="33"/>
      <x:c r="H13" s="33"/>
      <x:c r="I13" s="33"/>
      <x:c r="J13" s="33"/>
      <x:c r="K13" s="33"/>
      <x:c r="L13" s="33"/>
      <x:c r="M13" s="33"/>
      <x:c r="N13" s="37"/>
      <x:c r="O13" s="33"/>
      <x:c r="P13" s="33"/>
      <x:c r="Q13" s="33"/>
      <x:c r="R13" s="37"/>
      <x:c r="S13" s="33"/>
      <x:c r="T13" s="33"/>
      <x:c r="U13" s="33"/>
      <x:c r="V13" s="38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34"/>
      <x:c r="AG13" s="34"/>
      <x:c r="AH13" s="35" t="str">
        <x:f>IF(COUNTA(X13:AA13)&lt;4,"",ROUND((X13*20)*45%+(((Y13-1)/4*100)*30%+((Z13-1)/4*100)*25%+(1-(AA13-1)/4)*100*25%+(1-(MAX(1,AC13:AE13)-1)/4)*100*20%)*55%,0))</x:f>
      </x:c>
      <x:c r="AI13" s="35" t="str">
        <x:f>IF(AH13="","",IF(AH13&gt;=85,"Excelente",IF(AH13&gt;=70,"Adequado",IF(AH13&gt;=50,"Atenção","Crítico"))))</x:f>
      </x:c>
    </x:row>
    <x:row r="14">
      <x:c r="A14" s="33"/>
      <x:c r="B14" s="33"/>
      <x:c r="C14" s="33"/>
      <x:c r="D14" s="33"/>
      <x:c r="E14" s="36"/>
      <x:c r="F14" s="36"/>
      <x:c r="G14" s="33"/>
      <x:c r="H14" s="33"/>
      <x:c r="I14" s="33"/>
      <x:c r="J14" s="33"/>
      <x:c r="K14" s="33"/>
      <x:c r="L14" s="33"/>
      <x:c r="M14" s="33"/>
      <x:c r="N14" s="37"/>
      <x:c r="O14" s="33"/>
      <x:c r="P14" s="33"/>
      <x:c r="Q14" s="33"/>
      <x:c r="R14" s="37"/>
      <x:c r="S14" s="33"/>
      <x:c r="T14" s="33"/>
      <x:c r="U14" s="33"/>
      <x:c r="V14" s="38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34"/>
      <x:c r="AG14" s="34"/>
      <x:c r="AH14" s="35" t="str">
        <x:f>IF(COUNTA(X14:AA14)&lt;4,"",ROUND((X14*20)*45%+(((Y14-1)/4*100)*30%+((Z14-1)/4*100)*25%+(1-(AA14-1)/4)*100*25%+(1-(MAX(1,AC14:AE14)-1)/4)*100*20%)*55%,0))</x:f>
      </x:c>
      <x:c r="AI14" s="35" t="str">
        <x:f>IF(AH14="","",IF(AH14&gt;=85,"Excelente",IF(AH14&gt;=70,"Adequado",IF(AH14&gt;=50,"Atenção","Crítico"))))</x:f>
      </x:c>
    </x:row>
    <x:row r="15">
      <x:c r="A15" s="33"/>
      <x:c r="B15" s="33"/>
      <x:c r="C15" s="33"/>
      <x:c r="D15" s="33"/>
      <x:c r="E15" s="36"/>
      <x:c r="F15" s="36"/>
      <x:c r="G15" s="33"/>
      <x:c r="H15" s="33"/>
      <x:c r="I15" s="33"/>
      <x:c r="J15" s="33"/>
      <x:c r="K15" s="33"/>
      <x:c r="L15" s="33"/>
      <x:c r="M15" s="33"/>
      <x:c r="N15" s="37"/>
      <x:c r="O15" s="33"/>
      <x:c r="P15" s="33"/>
      <x:c r="Q15" s="33"/>
      <x:c r="R15" s="37"/>
      <x:c r="S15" s="33"/>
      <x:c r="T15" s="33"/>
      <x:c r="U15" s="33"/>
      <x:c r="V15" s="38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5" t="str">
        <x:f>IF(COUNTA(X15:AA15)&lt;4,"",ROUND((X15*20)*45%+(((Y15-1)/4*100)*30%+((Z15-1)/4*100)*25%+(1-(AA15-1)/4)*100*25%+(1-(MAX(1,AC15:AE15)-1)/4)*100*20%)*55%,0))</x:f>
      </x:c>
      <x:c r="AI15" s="35" t="str">
        <x:f>IF(AH15="","",IF(AH15&gt;=85,"Excelente",IF(AH15&gt;=70,"Adequado",IF(AH15&gt;=50,"Atenção","Crítico"))))</x:f>
      </x:c>
    </x:row>
    <x:row r="16">
      <x:c r="A16" s="33"/>
      <x:c r="B16" s="33"/>
      <x:c r="C16" s="33"/>
      <x:c r="D16" s="33"/>
      <x:c r="E16" s="36"/>
      <x:c r="F16" s="36"/>
      <x:c r="G16" s="33"/>
      <x:c r="H16" s="33"/>
      <x:c r="I16" s="33"/>
      <x:c r="J16" s="33"/>
      <x:c r="K16" s="33"/>
      <x:c r="L16" s="33"/>
      <x:c r="M16" s="33"/>
      <x:c r="N16" s="37"/>
      <x:c r="O16" s="33"/>
      <x:c r="P16" s="33"/>
      <x:c r="Q16" s="33"/>
      <x:c r="R16" s="37"/>
      <x:c r="S16" s="33"/>
      <x:c r="T16" s="33"/>
      <x:c r="U16" s="33"/>
      <x:c r="V16" s="38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5" t="str">
        <x:f>IF(COUNTA(X16:AA16)&lt;4,"",ROUND((X16*20)*45%+(((Y16-1)/4*100)*30%+((Z16-1)/4*100)*25%+(1-(AA16-1)/4)*100*25%+(1-(MAX(1,AC16:AE16)-1)/4)*100*20%)*55%,0))</x:f>
      </x:c>
      <x:c r="AI16" s="35" t="str">
        <x:f>IF(AH16="","",IF(AH16&gt;=85,"Excelente",IF(AH16&gt;=70,"Adequado",IF(AH16&gt;=50,"Atenção","Crítico"))))</x:f>
      </x:c>
    </x:row>
    <x:row r="17">
      <x:c r="A17" s="33"/>
      <x:c r="B17" s="33"/>
      <x:c r="C17" s="33"/>
      <x:c r="D17" s="33"/>
      <x:c r="E17" s="36"/>
      <x:c r="F17" s="36"/>
      <x:c r="G17" s="33"/>
      <x:c r="H17" s="33"/>
      <x:c r="I17" s="33"/>
      <x:c r="J17" s="33"/>
      <x:c r="K17" s="33"/>
      <x:c r="L17" s="33"/>
      <x:c r="M17" s="33"/>
      <x:c r="N17" s="37"/>
      <x:c r="O17" s="33"/>
      <x:c r="P17" s="33"/>
      <x:c r="Q17" s="33"/>
      <x:c r="R17" s="37"/>
      <x:c r="S17" s="33"/>
      <x:c r="T17" s="33"/>
      <x:c r="U17" s="33"/>
      <x:c r="V17" s="38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34"/>
      <x:c r="AG17" s="34"/>
      <x:c r="AH17" s="35" t="str">
        <x:f>IF(COUNTA(X17:AA17)&lt;4,"",ROUND((X17*20)*45%+(((Y17-1)/4*100)*30%+((Z17-1)/4*100)*25%+(1-(AA17-1)/4)*100*25%+(1-(MAX(1,AC17:AE17)-1)/4)*100*20%)*55%,0))</x:f>
      </x:c>
      <x:c r="AI17" s="35" t="str">
        <x:f>IF(AH17="","",IF(AH17&gt;=85,"Excelente",IF(AH17&gt;=70,"Adequado",IF(AH17&gt;=50,"Atenção","Crítico"))))</x:f>
      </x:c>
    </x:row>
    <x:row r="18">
      <x:c r="A18" s="33"/>
      <x:c r="B18" s="33"/>
      <x:c r="C18" s="33"/>
      <x:c r="D18" s="33"/>
      <x:c r="E18" s="36"/>
      <x:c r="F18" s="36"/>
      <x:c r="G18" s="33"/>
      <x:c r="H18" s="33"/>
      <x:c r="I18" s="33"/>
      <x:c r="J18" s="33"/>
      <x:c r="K18" s="33"/>
      <x:c r="L18" s="33"/>
      <x:c r="M18" s="33"/>
      <x:c r="N18" s="37"/>
      <x:c r="O18" s="33"/>
      <x:c r="P18" s="33"/>
      <x:c r="Q18" s="33"/>
      <x:c r="R18" s="37"/>
      <x:c r="S18" s="33"/>
      <x:c r="T18" s="33"/>
      <x:c r="U18" s="33"/>
      <x:c r="V18" s="38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34"/>
      <x:c r="AG18" s="34"/>
      <x:c r="AH18" s="35" t="str">
        <x:f>IF(COUNTA(X18:AA18)&lt;4,"",ROUND((X18*20)*45%+(((Y18-1)/4*100)*30%+((Z18-1)/4*100)*25%+(1-(AA18-1)/4)*100*25%+(1-(MAX(1,AC18:AE18)-1)/4)*100*20%)*55%,0))</x:f>
      </x:c>
      <x:c r="AI18" s="35" t="str">
        <x:f>IF(AH18="","",IF(AH18&gt;=85,"Excelente",IF(AH18&gt;=70,"Adequado",IF(AH18&gt;=50,"Atenção","Crítico"))))</x:f>
      </x:c>
    </x:row>
    <x:row r="19">
      <x:c r="A19" s="33"/>
      <x:c r="B19" s="33"/>
      <x:c r="C19" s="33"/>
      <x:c r="D19" s="33"/>
      <x:c r="E19" s="36"/>
      <x:c r="F19" s="36"/>
      <x:c r="G19" s="33"/>
      <x:c r="H19" s="33"/>
      <x:c r="I19" s="33"/>
      <x:c r="J19" s="33"/>
      <x:c r="K19" s="33"/>
      <x:c r="L19" s="33"/>
      <x:c r="M19" s="33"/>
      <x:c r="N19" s="37"/>
      <x:c r="O19" s="33"/>
      <x:c r="P19" s="33"/>
      <x:c r="Q19" s="33"/>
      <x:c r="R19" s="37"/>
      <x:c r="S19" s="33"/>
      <x:c r="T19" s="33"/>
      <x:c r="U19" s="33"/>
      <x:c r="V19" s="38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34"/>
      <x:c r="AG19" s="34"/>
      <x:c r="AH19" s="35" t="str">
        <x:f>IF(COUNTA(X19:AA19)&lt;4,"",ROUND((X19*20)*45%+(((Y19-1)/4*100)*30%+((Z19-1)/4*100)*25%+(1-(AA19-1)/4)*100*25%+(1-(MAX(1,AC19:AE19)-1)/4)*100*20%)*55%,0))</x:f>
      </x:c>
      <x:c r="AI19" s="35" t="str">
        <x:f>IF(AH19="","",IF(AH19&gt;=85,"Excelente",IF(AH19&gt;=70,"Adequado",IF(AH19&gt;=50,"Atenção","Crítico"))))</x:f>
      </x:c>
    </x:row>
    <x:row r="20">
      <x:c r="A20" s="33"/>
      <x:c r="B20" s="33"/>
      <x:c r="C20" s="33"/>
      <x:c r="D20" s="33"/>
      <x:c r="E20" s="36"/>
      <x:c r="F20" s="36"/>
      <x:c r="G20" s="33"/>
      <x:c r="H20" s="33"/>
      <x:c r="I20" s="33"/>
      <x:c r="J20" s="33"/>
      <x:c r="K20" s="33"/>
      <x:c r="L20" s="33"/>
      <x:c r="M20" s="33"/>
      <x:c r="N20" s="37"/>
      <x:c r="O20" s="33"/>
      <x:c r="P20" s="33"/>
      <x:c r="Q20" s="33"/>
      <x:c r="R20" s="37"/>
      <x:c r="S20" s="33"/>
      <x:c r="T20" s="33"/>
      <x:c r="U20" s="33"/>
      <x:c r="V20" s="38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34"/>
      <x:c r="AH20" s="35" t="str">
        <x:f>IF(COUNTA(X20:AA20)&lt;4,"",ROUND((X20*20)*45%+(((Y20-1)/4*100)*30%+((Z20-1)/4*100)*25%+(1-(AA20-1)/4)*100*25%+(1-(MAX(1,AC20:AE20)-1)/4)*100*20%)*55%,0))</x:f>
      </x:c>
      <x:c r="AI20" s="35" t="str">
        <x:f>IF(AH20="","",IF(AH20&gt;=85,"Excelente",IF(AH20&gt;=70,"Adequado",IF(AH20&gt;=50,"Atenção","Crítico"))))</x:f>
      </x:c>
    </x:row>
    <x:row r="21">
      <x:c r="A21" s="33"/>
      <x:c r="B21" s="33"/>
      <x:c r="C21" s="33"/>
      <x:c r="D21" s="33"/>
      <x:c r="E21" s="36"/>
      <x:c r="F21" s="36"/>
      <x:c r="G21" s="33"/>
      <x:c r="H21" s="33"/>
      <x:c r="I21" s="33"/>
      <x:c r="J21" s="33"/>
      <x:c r="K21" s="33"/>
      <x:c r="L21" s="33"/>
      <x:c r="M21" s="33"/>
      <x:c r="N21" s="37"/>
      <x:c r="O21" s="33"/>
      <x:c r="P21" s="33"/>
      <x:c r="Q21" s="33"/>
      <x:c r="R21" s="37"/>
      <x:c r="S21" s="33"/>
      <x:c r="T21" s="33"/>
      <x:c r="U21" s="33"/>
      <x:c r="V21" s="38"/>
      <x:c r="W21" s="34"/>
      <x:c r="X21" s="34"/>
      <x:c r="Y21" s="34"/>
      <x:c r="Z21" s="34"/>
      <x:c r="AA21" s="34"/>
      <x:c r="AB21" s="34"/>
      <x:c r="AC21" s="34"/>
      <x:c r="AD21" s="34"/>
      <x:c r="AE21" s="34"/>
      <x:c r="AF21" s="34"/>
      <x:c r="AG21" s="34"/>
      <x:c r="AH21" s="35" t="str">
        <x:f>IF(COUNTA(X21:AA21)&lt;4,"",ROUND((X21*20)*45%+(((Y21-1)/4*100)*30%+((Z21-1)/4*100)*25%+(1-(AA21-1)/4)*100*25%+(1-(MAX(1,AC21:AE21)-1)/4)*100*20%)*55%,0))</x:f>
      </x:c>
      <x:c r="AI21" s="35" t="str">
        <x:f>IF(AH21="","",IF(AH21&gt;=85,"Excelente",IF(AH21&gt;=70,"Adequado",IF(AH21&gt;=50,"Atenção","Crítico"))))</x:f>
      </x:c>
    </x:row>
    <x:row r="22">
      <x:c r="A22" s="33"/>
      <x:c r="B22" s="33"/>
      <x:c r="C22" s="33"/>
      <x:c r="D22" s="33"/>
      <x:c r="E22" s="36"/>
      <x:c r="F22" s="36"/>
      <x:c r="G22" s="33"/>
      <x:c r="H22" s="33"/>
      <x:c r="I22" s="33"/>
      <x:c r="J22" s="33"/>
      <x:c r="K22" s="33"/>
      <x:c r="L22" s="33"/>
      <x:c r="M22" s="33"/>
      <x:c r="N22" s="37"/>
      <x:c r="O22" s="33"/>
      <x:c r="P22" s="33"/>
      <x:c r="Q22" s="33"/>
      <x:c r="R22" s="37"/>
      <x:c r="S22" s="33"/>
      <x:c r="T22" s="33"/>
      <x:c r="U22" s="33"/>
      <x:c r="V22" s="38"/>
      <x:c r="W22" s="34"/>
      <x:c r="X22" s="34"/>
      <x:c r="Y22" s="34"/>
      <x:c r="Z22" s="34"/>
      <x:c r="AA22" s="34"/>
      <x:c r="AB22" s="34"/>
      <x:c r="AC22" s="34"/>
      <x:c r="AD22" s="34"/>
      <x:c r="AE22" s="34"/>
      <x:c r="AF22" s="34"/>
      <x:c r="AG22" s="34"/>
      <x:c r="AH22" s="35" t="str">
        <x:f>IF(COUNTA(X22:AA22)&lt;4,"",ROUND((X22*20)*45%+(((Y22-1)/4*100)*30%+((Z22-1)/4*100)*25%+(1-(AA22-1)/4)*100*25%+(1-(MAX(1,AC22:AE22)-1)/4)*100*20%)*55%,0))</x:f>
      </x:c>
      <x:c r="AI22" s="35" t="str">
        <x:f>IF(AH22="","",IF(AH22&gt;=85,"Excelente",IF(AH22&gt;=70,"Adequado",IF(AH22&gt;=50,"Atenção","Crítico"))))</x:f>
      </x:c>
    </x:row>
    <x:row r="23">
      <x:c r="A23" s="33"/>
      <x:c r="B23" s="33"/>
      <x:c r="C23" s="33"/>
      <x:c r="D23" s="33"/>
      <x:c r="E23" s="36"/>
      <x:c r="F23" s="36"/>
      <x:c r="G23" s="33"/>
      <x:c r="H23" s="33"/>
      <x:c r="I23" s="33"/>
      <x:c r="J23" s="33"/>
      <x:c r="K23" s="33"/>
      <x:c r="L23" s="33"/>
      <x:c r="M23" s="33"/>
      <x:c r="N23" s="37"/>
      <x:c r="O23" s="33"/>
      <x:c r="P23" s="33"/>
      <x:c r="Q23" s="33"/>
      <x:c r="R23" s="37"/>
      <x:c r="S23" s="33"/>
      <x:c r="T23" s="33"/>
      <x:c r="U23" s="33"/>
      <x:c r="V23" s="38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34"/>
      <x:c r="AG23" s="34"/>
      <x:c r="AH23" s="35" t="str">
        <x:f>IF(COUNTA(X23:AA23)&lt;4,"",ROUND((X23*20)*45%+(((Y23-1)/4*100)*30%+((Z23-1)/4*100)*25%+(1-(AA23-1)/4)*100*25%+(1-(MAX(1,AC23:AE23)-1)/4)*100*20%)*55%,0))</x:f>
      </x:c>
      <x:c r="AI23" s="35" t="str">
        <x:f>IF(AH23="","",IF(AH23&gt;=85,"Excelente",IF(AH23&gt;=70,"Adequado",IF(AH23&gt;=50,"Atenção","Crítico"))))</x:f>
      </x:c>
    </x:row>
    <x:row r="24">
      <x:c r="A24" s="33"/>
      <x:c r="B24" s="33"/>
      <x:c r="C24" s="33"/>
      <x:c r="D24" s="33"/>
      <x:c r="E24" s="36"/>
      <x:c r="F24" s="36"/>
      <x:c r="G24" s="33"/>
      <x:c r="H24" s="33"/>
      <x:c r="I24" s="33"/>
      <x:c r="J24" s="33"/>
      <x:c r="K24" s="33"/>
      <x:c r="L24" s="33"/>
      <x:c r="M24" s="33"/>
      <x:c r="N24" s="37"/>
      <x:c r="O24" s="33"/>
      <x:c r="P24" s="33"/>
      <x:c r="Q24" s="33"/>
      <x:c r="R24" s="37"/>
      <x:c r="S24" s="33"/>
      <x:c r="T24" s="33"/>
      <x:c r="U24" s="33"/>
      <x:c r="V24" s="38"/>
      <x:c r="W24" s="34"/>
      <x:c r="X24" s="34"/>
      <x:c r="Y24" s="34"/>
      <x:c r="Z24" s="34"/>
      <x:c r="AA24" s="34"/>
      <x:c r="AB24" s="34"/>
      <x:c r="AC24" s="34"/>
      <x:c r="AD24" s="34"/>
      <x:c r="AE24" s="34"/>
      <x:c r="AF24" s="34"/>
      <x:c r="AG24" s="34"/>
      <x:c r="AH24" s="35" t="str">
        <x:f>IF(COUNTA(X24:AA24)&lt;4,"",ROUND((X24*20)*45%+(((Y24-1)/4*100)*30%+((Z24-1)/4*100)*25%+(1-(AA24-1)/4)*100*25%+(1-(MAX(1,AC24:AE24)-1)/4)*100*20%)*55%,0))</x:f>
      </x:c>
      <x:c r="AI24" s="35" t="str">
        <x:f>IF(AH24="","",IF(AH24&gt;=85,"Excelente",IF(AH24&gt;=70,"Adequado",IF(AH24&gt;=50,"Atenção","Crítico"))))</x:f>
      </x:c>
    </x:row>
    <x:row r="25">
      <x:c r="A25" s="33"/>
      <x:c r="B25" s="33"/>
      <x:c r="C25" s="33"/>
      <x:c r="D25" s="33"/>
      <x:c r="E25" s="36"/>
      <x:c r="F25" s="36"/>
      <x:c r="G25" s="33"/>
      <x:c r="H25" s="33"/>
      <x:c r="I25" s="33"/>
      <x:c r="J25" s="33"/>
      <x:c r="K25" s="33"/>
      <x:c r="L25" s="33"/>
      <x:c r="M25" s="33"/>
      <x:c r="N25" s="37"/>
      <x:c r="O25" s="33"/>
      <x:c r="P25" s="33"/>
      <x:c r="Q25" s="33"/>
      <x:c r="R25" s="37"/>
      <x:c r="S25" s="33"/>
      <x:c r="T25" s="33"/>
      <x:c r="U25" s="33"/>
      <x:c r="V25" s="38"/>
      <x:c r="W25" s="34"/>
      <x:c r="X25" s="34"/>
      <x:c r="Y25" s="34"/>
      <x:c r="Z25" s="34"/>
      <x:c r="AA25" s="34"/>
      <x:c r="AB25" s="34"/>
      <x:c r="AC25" s="34"/>
      <x:c r="AD25" s="34"/>
      <x:c r="AE25" s="34"/>
      <x:c r="AF25" s="34"/>
      <x:c r="AG25" s="34"/>
      <x:c r="AH25" s="35" t="str">
        <x:f>IF(COUNTA(X25:AA25)&lt;4,"",ROUND((X25*20)*45%+(((Y25-1)/4*100)*30%+((Z25-1)/4*100)*25%+(1-(AA25-1)/4)*100*25%+(1-(MAX(1,AC25:AE25)-1)/4)*100*20%)*55%,0))</x:f>
      </x:c>
      <x:c r="AI25" s="35" t="str">
        <x:f>IF(AH25="","",IF(AH25&gt;=85,"Excelente",IF(AH25&gt;=70,"Adequado",IF(AH25&gt;=50,"Atenção","Crítico"))))</x:f>
      </x:c>
    </x:row>
    <x:row r="26">
      <x:c r="A26" s="33"/>
      <x:c r="B26" s="33"/>
      <x:c r="C26" s="33"/>
      <x:c r="D26" s="33"/>
      <x:c r="E26" s="36"/>
      <x:c r="F26" s="36"/>
      <x:c r="G26" s="33"/>
      <x:c r="H26" s="33"/>
      <x:c r="I26" s="33"/>
      <x:c r="J26" s="33"/>
      <x:c r="K26" s="33"/>
      <x:c r="L26" s="33"/>
      <x:c r="M26" s="33"/>
      <x:c r="N26" s="37"/>
      <x:c r="O26" s="33"/>
      <x:c r="P26" s="33"/>
      <x:c r="Q26" s="33"/>
      <x:c r="R26" s="37"/>
      <x:c r="S26" s="33"/>
      <x:c r="T26" s="33"/>
      <x:c r="U26" s="33"/>
      <x:c r="V26" s="38"/>
      <x:c r="W26" s="34"/>
      <x:c r="X26" s="34"/>
      <x:c r="Y26" s="34"/>
      <x:c r="Z26" s="34"/>
      <x:c r="AA26" s="34"/>
      <x:c r="AB26" s="34"/>
      <x:c r="AC26" s="34"/>
      <x:c r="AD26" s="34"/>
      <x:c r="AE26" s="34"/>
      <x:c r="AF26" s="34"/>
      <x:c r="AG26" s="34"/>
      <x:c r="AH26" s="35" t="str">
        <x:f>IF(COUNTA(X26:AA26)&lt;4,"",ROUND((X26*20)*45%+(((Y26-1)/4*100)*30%+((Z26-1)/4*100)*25%+(1-(AA26-1)/4)*100*25%+(1-(MAX(1,AC26:AE26)-1)/4)*100*20%)*55%,0))</x:f>
      </x:c>
      <x:c r="AI26" s="35" t="str">
        <x:f>IF(AH26="","",IF(AH26&gt;=85,"Excelente",IF(AH26&gt;=70,"Adequado",IF(AH26&gt;=50,"Atenção","Crítico"))))</x:f>
      </x:c>
    </x:row>
    <x:row r="27">
      <x:c r="A27" s="33"/>
      <x:c r="B27" s="33"/>
      <x:c r="C27" s="33"/>
      <x:c r="D27" s="33"/>
      <x:c r="E27" s="36"/>
      <x:c r="F27" s="36"/>
      <x:c r="G27" s="33"/>
      <x:c r="H27" s="33"/>
      <x:c r="I27" s="33"/>
      <x:c r="J27" s="33"/>
      <x:c r="K27" s="33"/>
      <x:c r="L27" s="33"/>
      <x:c r="M27" s="33"/>
      <x:c r="N27" s="37"/>
      <x:c r="O27" s="33"/>
      <x:c r="P27" s="33"/>
      <x:c r="Q27" s="33"/>
      <x:c r="R27" s="37"/>
      <x:c r="S27" s="33"/>
      <x:c r="T27" s="33"/>
      <x:c r="U27" s="33"/>
      <x:c r="V27" s="38"/>
      <x:c r="W27" s="34"/>
      <x:c r="X27" s="34"/>
      <x:c r="Y27" s="34"/>
      <x:c r="Z27" s="34"/>
      <x:c r="AA27" s="34"/>
      <x:c r="AB27" s="34"/>
      <x:c r="AC27" s="34"/>
      <x:c r="AD27" s="34"/>
      <x:c r="AE27" s="34"/>
      <x:c r="AF27" s="34"/>
      <x:c r="AG27" s="34"/>
      <x:c r="AH27" s="35" t="str">
        <x:f>IF(COUNTA(X27:AA27)&lt;4,"",ROUND((X27*20)*45%+(((Y27-1)/4*100)*30%+((Z27-1)/4*100)*25%+(1-(AA27-1)/4)*100*25%+(1-(MAX(1,AC27:AE27)-1)/4)*100*20%)*55%,0))</x:f>
      </x:c>
      <x:c r="AI27" s="35" t="str">
        <x:f>IF(AH27="","",IF(AH27&gt;=85,"Excelente",IF(AH27&gt;=70,"Adequado",IF(AH27&gt;=50,"Atenção","Crítico"))))</x:f>
      </x:c>
    </x:row>
    <x:row r="28">
      <x:c r="A28" s="33"/>
      <x:c r="B28" s="33"/>
      <x:c r="C28" s="33"/>
      <x:c r="D28" s="33"/>
      <x:c r="E28" s="36"/>
      <x:c r="F28" s="36"/>
      <x:c r="G28" s="33"/>
      <x:c r="H28" s="33"/>
      <x:c r="I28" s="33"/>
      <x:c r="J28" s="33"/>
      <x:c r="K28" s="33"/>
      <x:c r="L28" s="33"/>
      <x:c r="M28" s="33"/>
      <x:c r="N28" s="37"/>
      <x:c r="O28" s="33"/>
      <x:c r="P28" s="33"/>
      <x:c r="Q28" s="33"/>
      <x:c r="R28" s="37"/>
      <x:c r="S28" s="33"/>
      <x:c r="T28" s="33"/>
      <x:c r="U28" s="33"/>
      <x:c r="V28" s="38"/>
      <x:c r="W28" s="34"/>
      <x:c r="X28" s="34"/>
      <x:c r="Y28" s="34"/>
      <x:c r="Z28" s="34"/>
      <x:c r="AA28" s="34"/>
      <x:c r="AB28" s="34"/>
      <x:c r="AC28" s="34"/>
      <x:c r="AD28" s="34"/>
      <x:c r="AE28" s="34"/>
      <x:c r="AF28" s="34"/>
      <x:c r="AG28" s="34"/>
      <x:c r="AH28" s="35" t="str">
        <x:f>IF(COUNTA(X28:AA28)&lt;4,"",ROUND((X28*20)*45%+(((Y28-1)/4*100)*30%+((Z28-1)/4*100)*25%+(1-(AA28-1)/4)*100*25%+(1-(MAX(1,AC28:AE28)-1)/4)*100*20%)*55%,0))</x:f>
      </x:c>
      <x:c r="AI28" s="35" t="str">
        <x:f>IF(AH28="","",IF(AH28&gt;=85,"Excelente",IF(AH28&gt;=70,"Adequado",IF(AH28&gt;=50,"Atenção","Crítico"))))</x:f>
      </x:c>
    </x:row>
    <x:row r="29">
      <x:c r="A29" s="33"/>
      <x:c r="B29" s="33"/>
      <x:c r="C29" s="33"/>
      <x:c r="D29" s="33"/>
      <x:c r="E29" s="36"/>
      <x:c r="F29" s="36"/>
      <x:c r="G29" s="33"/>
      <x:c r="H29" s="33"/>
      <x:c r="I29" s="33"/>
      <x:c r="J29" s="33"/>
      <x:c r="K29" s="33"/>
      <x:c r="L29" s="33"/>
      <x:c r="M29" s="33"/>
      <x:c r="N29" s="37"/>
      <x:c r="O29" s="33"/>
      <x:c r="P29" s="33"/>
      <x:c r="Q29" s="33"/>
      <x:c r="R29" s="37"/>
      <x:c r="S29" s="33"/>
      <x:c r="T29" s="33"/>
      <x:c r="U29" s="33"/>
      <x:c r="V29" s="38"/>
      <x:c r="W29" s="34"/>
      <x:c r="X29" s="34"/>
      <x:c r="Y29" s="34"/>
      <x:c r="Z29" s="34"/>
      <x:c r="AA29" s="34"/>
      <x:c r="AB29" s="34"/>
      <x:c r="AC29" s="34"/>
      <x:c r="AD29" s="34"/>
      <x:c r="AE29" s="34"/>
      <x:c r="AF29" s="34"/>
      <x:c r="AG29" s="34"/>
      <x:c r="AH29" s="35" t="str">
        <x:f>IF(COUNTA(X29:AA29)&lt;4,"",ROUND((X29*20)*45%+(((Y29-1)/4*100)*30%+((Z29-1)/4*100)*25%+(1-(AA29-1)/4)*100*25%+(1-(MAX(1,AC29:AE29)-1)/4)*100*20%)*55%,0))</x:f>
      </x:c>
      <x:c r="AI29" s="35" t="str">
        <x:f>IF(AH29="","",IF(AH29&gt;=85,"Excelente",IF(AH29&gt;=70,"Adequado",IF(AH29&gt;=50,"Atenção","Crítico"))))</x:f>
      </x:c>
    </x:row>
    <x:row r="30">
      <x:c r="A30" s="33"/>
      <x:c r="B30" s="33"/>
      <x:c r="C30" s="33"/>
      <x:c r="D30" s="33"/>
      <x:c r="E30" s="36"/>
      <x:c r="F30" s="36"/>
      <x:c r="G30" s="33"/>
      <x:c r="H30" s="33"/>
      <x:c r="I30" s="33"/>
      <x:c r="J30" s="33"/>
      <x:c r="K30" s="33"/>
      <x:c r="L30" s="33"/>
      <x:c r="M30" s="33"/>
      <x:c r="N30" s="37"/>
      <x:c r="O30" s="33"/>
      <x:c r="P30" s="33"/>
      <x:c r="Q30" s="33"/>
      <x:c r="R30" s="37"/>
      <x:c r="S30" s="33"/>
      <x:c r="T30" s="33"/>
      <x:c r="U30" s="33"/>
      <x:c r="V30" s="38"/>
      <x:c r="W30" s="34"/>
      <x:c r="X30" s="34"/>
      <x:c r="Y30" s="34"/>
      <x:c r="Z30" s="34"/>
      <x:c r="AA30" s="34"/>
      <x:c r="AB30" s="34"/>
      <x:c r="AC30" s="34"/>
      <x:c r="AD30" s="34"/>
      <x:c r="AE30" s="34"/>
      <x:c r="AF30" s="34"/>
      <x:c r="AG30" s="34"/>
      <x:c r="AH30" s="35" t="str">
        <x:f>IF(COUNTA(X30:AA30)&lt;4,"",ROUND((X30*20)*45%+(((Y30-1)/4*100)*30%+((Z30-1)/4*100)*25%+(1-(AA30-1)/4)*100*25%+(1-(MAX(1,AC30:AE30)-1)/4)*100*20%)*55%,0))</x:f>
      </x:c>
      <x:c r="AI30" s="35" t="str">
        <x:f>IF(AH30="","",IF(AH30&gt;=85,"Excelente",IF(AH30&gt;=70,"Adequado",IF(AH30&gt;=50,"Atenção","Crítico"))))</x:f>
      </x:c>
    </x:row>
    <x:row r="31">
      <x:c r="A31" s="33"/>
      <x:c r="B31" s="33"/>
      <x:c r="C31" s="33"/>
      <x:c r="D31" s="33"/>
      <x:c r="E31" s="36"/>
      <x:c r="F31" s="36"/>
      <x:c r="G31" s="33"/>
      <x:c r="H31" s="33"/>
      <x:c r="I31" s="33"/>
      <x:c r="J31" s="33"/>
      <x:c r="K31" s="33"/>
      <x:c r="L31" s="33"/>
      <x:c r="M31" s="33"/>
      <x:c r="N31" s="37"/>
      <x:c r="O31" s="33"/>
      <x:c r="P31" s="33"/>
      <x:c r="Q31" s="33"/>
      <x:c r="R31" s="37"/>
      <x:c r="S31" s="33"/>
      <x:c r="T31" s="33"/>
      <x:c r="U31" s="33"/>
      <x:c r="V31" s="38"/>
      <x:c r="W31" s="34"/>
      <x:c r="X31" s="34"/>
      <x:c r="Y31" s="34"/>
      <x:c r="Z31" s="34"/>
      <x:c r="AA31" s="34"/>
      <x:c r="AB31" s="34"/>
      <x:c r="AC31" s="34"/>
      <x:c r="AD31" s="34"/>
      <x:c r="AE31" s="34"/>
      <x:c r="AF31" s="34"/>
      <x:c r="AG31" s="34"/>
      <x:c r="AH31" s="35" t="str">
        <x:f>IF(COUNTA(X31:AA31)&lt;4,"",ROUND((X31*20)*45%+(((Y31-1)/4*100)*30%+((Z31-1)/4*100)*25%+(1-(AA31-1)/4)*100*25%+(1-(MAX(1,AC31:AE31)-1)/4)*100*20%)*55%,0))</x:f>
      </x:c>
      <x:c r="AI31" s="35" t="str">
        <x:f>IF(AH31="","",IF(AH31&gt;=85,"Excelente",IF(AH31&gt;=70,"Adequado",IF(AH31&gt;=50,"Atenção","Crítico"))))</x:f>
      </x:c>
    </x:row>
    <x:row r="32">
      <x:c r="A32" s="33"/>
      <x:c r="B32" s="33"/>
      <x:c r="C32" s="33"/>
      <x:c r="D32" s="33"/>
      <x:c r="E32" s="36"/>
      <x:c r="F32" s="36"/>
      <x:c r="G32" s="33"/>
      <x:c r="H32" s="33"/>
      <x:c r="I32" s="33"/>
      <x:c r="J32" s="33"/>
      <x:c r="K32" s="33"/>
      <x:c r="L32" s="33"/>
      <x:c r="M32" s="33"/>
      <x:c r="N32" s="37"/>
      <x:c r="O32" s="33"/>
      <x:c r="P32" s="33"/>
      <x:c r="Q32" s="33"/>
      <x:c r="R32" s="37"/>
      <x:c r="S32" s="33"/>
      <x:c r="T32" s="33"/>
      <x:c r="U32" s="33"/>
      <x:c r="V32" s="38"/>
      <x:c r="W32" s="34"/>
      <x:c r="X32" s="34"/>
      <x:c r="Y32" s="34"/>
      <x:c r="Z32" s="34"/>
      <x:c r="AA32" s="34"/>
      <x:c r="AB32" s="34"/>
      <x:c r="AC32" s="34"/>
      <x:c r="AD32" s="34"/>
      <x:c r="AE32" s="34"/>
      <x:c r="AF32" s="34"/>
      <x:c r="AG32" s="34"/>
      <x:c r="AH32" s="35" t="str">
        <x:f>IF(COUNTA(X32:AA32)&lt;4,"",ROUND((X32*20)*45%+(((Y32-1)/4*100)*30%+((Z32-1)/4*100)*25%+(1-(AA32-1)/4)*100*25%+(1-(MAX(1,AC32:AE32)-1)/4)*100*20%)*55%,0))</x:f>
      </x:c>
      <x:c r="AI32" s="35" t="str">
        <x:f>IF(AH32="","",IF(AH32&gt;=85,"Excelente",IF(AH32&gt;=70,"Adequado",IF(AH32&gt;=50,"Atenção","Crítico"))))</x:f>
      </x:c>
    </x:row>
    <x:row r="33">
      <x:c r="A33" s="33"/>
      <x:c r="B33" s="33"/>
      <x:c r="C33" s="33"/>
      <x:c r="D33" s="33"/>
      <x:c r="E33" s="36"/>
      <x:c r="F33" s="36"/>
      <x:c r="G33" s="33"/>
      <x:c r="H33" s="33"/>
      <x:c r="I33" s="33"/>
      <x:c r="J33" s="33"/>
      <x:c r="K33" s="33"/>
      <x:c r="L33" s="33"/>
      <x:c r="M33" s="33"/>
      <x:c r="N33" s="37"/>
      <x:c r="O33" s="33"/>
      <x:c r="P33" s="33"/>
      <x:c r="Q33" s="33"/>
      <x:c r="R33" s="37"/>
      <x:c r="S33" s="33"/>
      <x:c r="T33" s="33"/>
      <x:c r="U33" s="33"/>
      <x:c r="V33" s="38"/>
      <x:c r="W33" s="34"/>
      <x:c r="X33" s="34"/>
      <x:c r="Y33" s="34"/>
      <x:c r="Z33" s="34"/>
      <x:c r="AA33" s="34"/>
      <x:c r="AB33" s="34"/>
      <x:c r="AC33" s="34"/>
      <x:c r="AD33" s="34"/>
      <x:c r="AE33" s="34"/>
      <x:c r="AF33" s="34"/>
      <x:c r="AG33" s="34"/>
      <x:c r="AH33" s="35" t="str">
        <x:f>IF(COUNTA(X33:AA33)&lt;4,"",ROUND((X33*20)*45%+(((Y33-1)/4*100)*30%+((Z33-1)/4*100)*25%+(1-(AA33-1)/4)*100*25%+(1-(MAX(1,AC33:AE33)-1)/4)*100*20%)*55%,0))</x:f>
      </x:c>
      <x:c r="AI33" s="35" t="str">
        <x:f>IF(AH33="","",IF(AH33&gt;=85,"Excelente",IF(AH33&gt;=70,"Adequado",IF(AH33&gt;=50,"Atenção","Crítico"))))</x:f>
      </x:c>
    </x:row>
    <x:row r="34">
      <x:c r="A34" s="33"/>
      <x:c r="B34" s="33"/>
      <x:c r="C34" s="33"/>
      <x:c r="D34" s="33"/>
      <x:c r="E34" s="36"/>
      <x:c r="F34" s="36"/>
      <x:c r="G34" s="33"/>
      <x:c r="H34" s="33"/>
      <x:c r="I34" s="33"/>
      <x:c r="J34" s="33"/>
      <x:c r="K34" s="33"/>
      <x:c r="L34" s="33"/>
      <x:c r="M34" s="33"/>
      <x:c r="N34" s="37"/>
      <x:c r="O34" s="33"/>
      <x:c r="P34" s="33"/>
      <x:c r="Q34" s="33"/>
      <x:c r="R34" s="37"/>
      <x:c r="S34" s="33"/>
      <x:c r="T34" s="33"/>
      <x:c r="U34" s="33"/>
      <x:c r="V34" s="38"/>
      <x:c r="W34" s="34"/>
      <x:c r="X34" s="34"/>
      <x:c r="Y34" s="34"/>
      <x:c r="Z34" s="34"/>
      <x:c r="AA34" s="34"/>
      <x:c r="AB34" s="34"/>
      <x:c r="AC34" s="34"/>
      <x:c r="AD34" s="34"/>
      <x:c r="AE34" s="34"/>
      <x:c r="AF34" s="34"/>
      <x:c r="AG34" s="34"/>
      <x:c r="AH34" s="35" t="str">
        <x:f>IF(COUNTA(X34:AA34)&lt;4,"",ROUND((X34*20)*45%+(((Y34-1)/4*100)*30%+((Z34-1)/4*100)*25%+(1-(AA34-1)/4)*100*25%+(1-(MAX(1,AC34:AE34)-1)/4)*100*20%)*55%,0))</x:f>
      </x:c>
      <x:c r="AI34" s="35" t="str">
        <x:f>IF(AH34="","",IF(AH34&gt;=85,"Excelente",IF(AH34&gt;=70,"Adequado",IF(AH34&gt;=50,"Atenção","Crítico"))))</x:f>
      </x:c>
    </x:row>
    <x:row r="35">
      <x:c r="A35" s="33"/>
      <x:c r="B35" s="33"/>
      <x:c r="C35" s="33"/>
      <x:c r="D35" s="33"/>
      <x:c r="E35" s="36"/>
      <x:c r="F35" s="36"/>
      <x:c r="G35" s="33"/>
      <x:c r="H35" s="33"/>
      <x:c r="I35" s="33"/>
      <x:c r="J35" s="33"/>
      <x:c r="K35" s="33"/>
      <x:c r="L35" s="33"/>
      <x:c r="M35" s="33"/>
      <x:c r="N35" s="37"/>
      <x:c r="O35" s="33"/>
      <x:c r="P35" s="33"/>
      <x:c r="Q35" s="33"/>
      <x:c r="R35" s="37"/>
      <x:c r="S35" s="33"/>
      <x:c r="T35" s="33"/>
      <x:c r="U35" s="33"/>
      <x:c r="V35" s="38"/>
      <x:c r="W35" s="34"/>
      <x:c r="X35" s="34"/>
      <x:c r="Y35" s="34"/>
      <x:c r="Z35" s="34"/>
      <x:c r="AA35" s="34"/>
      <x:c r="AB35" s="34"/>
      <x:c r="AC35" s="34"/>
      <x:c r="AD35" s="34"/>
      <x:c r="AE35" s="34"/>
      <x:c r="AF35" s="34"/>
      <x:c r="AG35" s="34"/>
      <x:c r="AH35" s="35" t="str">
        <x:f>IF(COUNTA(X35:AA35)&lt;4,"",ROUND((X35*20)*45%+(((Y35-1)/4*100)*30%+((Z35-1)/4*100)*25%+(1-(AA35-1)/4)*100*25%+(1-(MAX(1,AC35:AE35)-1)/4)*100*20%)*55%,0))</x:f>
      </x:c>
      <x:c r="AI35" s="35" t="str">
        <x:f>IF(AH35="","",IF(AH35&gt;=85,"Excelente",IF(AH35&gt;=70,"Adequado",IF(AH35&gt;=50,"Atenção","Crítico"))))</x:f>
      </x:c>
    </x:row>
    <x:row r="36">
      <x:c r="A36" s="33"/>
      <x:c r="B36" s="33"/>
      <x:c r="C36" s="33"/>
      <x:c r="D36" s="33"/>
      <x:c r="E36" s="36"/>
      <x:c r="F36" s="36"/>
      <x:c r="G36" s="33"/>
      <x:c r="H36" s="33"/>
      <x:c r="I36" s="33"/>
      <x:c r="J36" s="33"/>
      <x:c r="K36" s="33"/>
      <x:c r="L36" s="33"/>
      <x:c r="M36" s="33"/>
      <x:c r="N36" s="37"/>
      <x:c r="O36" s="33"/>
      <x:c r="P36" s="33"/>
      <x:c r="Q36" s="33"/>
      <x:c r="R36" s="37"/>
      <x:c r="S36" s="33"/>
      <x:c r="T36" s="33"/>
      <x:c r="U36" s="33"/>
      <x:c r="V36" s="38"/>
      <x:c r="W36" s="34"/>
      <x:c r="X36" s="34"/>
      <x:c r="Y36" s="34"/>
      <x:c r="Z36" s="34"/>
      <x:c r="AA36" s="34"/>
      <x:c r="AB36" s="34"/>
      <x:c r="AC36" s="34"/>
      <x:c r="AD36" s="34"/>
      <x:c r="AE36" s="34"/>
      <x:c r="AF36" s="34"/>
      <x:c r="AG36" s="34"/>
      <x:c r="AH36" s="35" t="str">
        <x:f>IF(COUNTA(X36:AA36)&lt;4,"",ROUND((X36*20)*45%+(((Y36-1)/4*100)*30%+((Z36-1)/4*100)*25%+(1-(AA36-1)/4)*100*25%+(1-(MAX(1,AC36:AE36)-1)/4)*100*20%)*55%,0))</x:f>
      </x:c>
      <x:c r="AI36" s="35" t="str">
        <x:f>IF(AH36="","",IF(AH36&gt;=85,"Excelente",IF(AH36&gt;=70,"Adequado",IF(AH36&gt;=50,"Atenção","Crítico"))))</x:f>
      </x:c>
    </x:row>
    <x:row r="37">
      <x:c r="A37" s="33"/>
      <x:c r="B37" s="33"/>
      <x:c r="C37" s="33"/>
      <x:c r="D37" s="33"/>
      <x:c r="E37" s="36"/>
      <x:c r="F37" s="36"/>
      <x:c r="G37" s="33"/>
      <x:c r="H37" s="33"/>
      <x:c r="I37" s="33"/>
      <x:c r="J37" s="33"/>
      <x:c r="K37" s="33"/>
      <x:c r="L37" s="33"/>
      <x:c r="M37" s="33"/>
      <x:c r="N37" s="37"/>
      <x:c r="O37" s="33"/>
      <x:c r="P37" s="33"/>
      <x:c r="Q37" s="33"/>
      <x:c r="R37" s="37"/>
      <x:c r="S37" s="33"/>
      <x:c r="T37" s="33"/>
      <x:c r="U37" s="33"/>
      <x:c r="V37" s="38"/>
      <x:c r="W37" s="34"/>
      <x:c r="X37" s="34"/>
      <x:c r="Y37" s="34"/>
      <x:c r="Z37" s="34"/>
      <x:c r="AA37" s="34"/>
      <x:c r="AB37" s="34"/>
      <x:c r="AC37" s="34"/>
      <x:c r="AD37" s="34"/>
      <x:c r="AE37" s="34"/>
      <x:c r="AF37" s="34"/>
      <x:c r="AG37" s="34"/>
      <x:c r="AH37" s="35" t="str">
        <x:f>IF(COUNTA(X37:AA37)&lt;4,"",ROUND((X37*20)*45%+(((Y37-1)/4*100)*30%+((Z37-1)/4*100)*25%+(1-(AA37-1)/4)*100*25%+(1-(MAX(1,AC37:AE37)-1)/4)*100*20%)*55%,0))</x:f>
      </x:c>
      <x:c r="AI37" s="35" t="str">
        <x:f>IF(AH37="","",IF(AH37&gt;=85,"Excelente",IF(AH37&gt;=70,"Adequado",IF(AH37&gt;=50,"Atenção","Crítico"))))</x:f>
      </x:c>
    </x:row>
    <x:row r="38">
      <x:c r="A38" s="33"/>
      <x:c r="B38" s="33"/>
      <x:c r="C38" s="33"/>
      <x:c r="D38" s="33"/>
      <x:c r="E38" s="36"/>
      <x:c r="F38" s="36"/>
      <x:c r="G38" s="33"/>
      <x:c r="H38" s="33"/>
      <x:c r="I38" s="33"/>
      <x:c r="J38" s="33"/>
      <x:c r="K38" s="33"/>
      <x:c r="L38" s="33"/>
      <x:c r="M38" s="33"/>
      <x:c r="N38" s="37"/>
      <x:c r="O38" s="33"/>
      <x:c r="P38" s="33"/>
      <x:c r="Q38" s="33"/>
      <x:c r="R38" s="37"/>
      <x:c r="S38" s="33"/>
      <x:c r="T38" s="33"/>
      <x:c r="U38" s="33"/>
      <x:c r="V38" s="38"/>
      <x:c r="W38" s="34"/>
      <x:c r="X38" s="34"/>
      <x:c r="Y38" s="34"/>
      <x:c r="Z38" s="34"/>
      <x:c r="AA38" s="34"/>
      <x:c r="AB38" s="34"/>
      <x:c r="AC38" s="34"/>
      <x:c r="AD38" s="34"/>
      <x:c r="AE38" s="34"/>
      <x:c r="AF38" s="34"/>
      <x:c r="AG38" s="34"/>
      <x:c r="AH38" s="35" t="str">
        <x:f>IF(COUNTA(X38:AA38)&lt;4,"",ROUND((X38*20)*45%+(((Y38-1)/4*100)*30%+((Z38-1)/4*100)*25%+(1-(AA38-1)/4)*100*25%+(1-(MAX(1,AC38:AE38)-1)/4)*100*20%)*55%,0))</x:f>
      </x:c>
      <x:c r="AI38" s="35" t="str">
        <x:f>IF(AH38="","",IF(AH38&gt;=85,"Excelente",IF(AH38&gt;=70,"Adequado",IF(AH38&gt;=50,"Atenção","Crítico"))))</x:f>
      </x:c>
    </x:row>
    <x:row r="39">
      <x:c r="A39" s="33"/>
      <x:c r="B39" s="33"/>
      <x:c r="C39" s="33"/>
      <x:c r="D39" s="33"/>
      <x:c r="E39" s="36"/>
      <x:c r="F39" s="36"/>
      <x:c r="G39" s="33"/>
      <x:c r="H39" s="33"/>
      <x:c r="I39" s="33"/>
      <x:c r="J39" s="33"/>
      <x:c r="K39" s="33"/>
      <x:c r="L39" s="33"/>
      <x:c r="M39" s="33"/>
      <x:c r="N39" s="37"/>
      <x:c r="O39" s="33"/>
      <x:c r="P39" s="33"/>
      <x:c r="Q39" s="33"/>
      <x:c r="R39" s="37"/>
      <x:c r="S39" s="33"/>
      <x:c r="T39" s="33"/>
      <x:c r="U39" s="33"/>
      <x:c r="V39" s="38"/>
      <x:c r="W39" s="34"/>
      <x:c r="X39" s="34"/>
      <x:c r="Y39" s="34"/>
      <x:c r="Z39" s="34"/>
      <x:c r="AA39" s="34"/>
      <x:c r="AB39" s="34"/>
      <x:c r="AC39" s="34"/>
      <x:c r="AD39" s="34"/>
      <x:c r="AE39" s="34"/>
      <x:c r="AF39" s="34"/>
      <x:c r="AG39" s="34"/>
      <x:c r="AH39" s="35" t="str">
        <x:f>IF(COUNTA(X39:AA39)&lt;4,"",ROUND((X39*20)*45%+(((Y39-1)/4*100)*30%+((Z39-1)/4*100)*25%+(1-(AA39-1)/4)*100*25%+(1-(MAX(1,AC39:AE39)-1)/4)*100*20%)*55%,0))</x:f>
      </x:c>
      <x:c r="AI39" s="35" t="str">
        <x:f>IF(AH39="","",IF(AH39&gt;=85,"Excelente",IF(AH39&gt;=70,"Adequado",IF(AH39&gt;=50,"Atenção","Crítico"))))</x:f>
      </x:c>
    </x:row>
    <x:row r="40">
      <x:c r="A40" s="33"/>
      <x:c r="B40" s="33"/>
      <x:c r="C40" s="33"/>
      <x:c r="D40" s="33"/>
      <x:c r="E40" s="36"/>
      <x:c r="F40" s="36"/>
      <x:c r="G40" s="33"/>
      <x:c r="H40" s="33"/>
      <x:c r="I40" s="33"/>
      <x:c r="J40" s="33"/>
      <x:c r="K40" s="33"/>
      <x:c r="L40" s="33"/>
      <x:c r="M40" s="33"/>
      <x:c r="N40" s="37"/>
      <x:c r="O40" s="33"/>
      <x:c r="P40" s="33"/>
      <x:c r="Q40" s="33"/>
      <x:c r="R40" s="37"/>
      <x:c r="S40" s="33"/>
      <x:c r="T40" s="33"/>
      <x:c r="U40" s="33"/>
      <x:c r="V40" s="38"/>
      <x:c r="W40" s="34"/>
      <x:c r="X40" s="34"/>
      <x:c r="Y40" s="34"/>
      <x:c r="Z40" s="34"/>
      <x:c r="AA40" s="34"/>
      <x:c r="AB40" s="34"/>
      <x:c r="AC40" s="34"/>
      <x:c r="AD40" s="34"/>
      <x:c r="AE40" s="34"/>
      <x:c r="AF40" s="34"/>
      <x:c r="AG40" s="34"/>
      <x:c r="AH40" s="35" t="str">
        <x:f>IF(COUNTA(X40:AA40)&lt;4,"",ROUND((X40*20)*45%+(((Y40-1)/4*100)*30%+((Z40-1)/4*100)*25%+(1-(AA40-1)/4)*100*25%+(1-(MAX(1,AC40:AE40)-1)/4)*100*20%)*55%,0))</x:f>
      </x:c>
      <x:c r="AI40" s="35" t="str">
        <x:f>IF(AH40="","",IF(AH40&gt;=85,"Excelente",IF(AH40&gt;=70,"Adequado",IF(AH40&gt;=50,"Atenção","Crítico"))))</x:f>
      </x:c>
    </x:row>
    <x:row r="41">
      <x:c r="A41" s="33"/>
      <x:c r="B41" s="33"/>
      <x:c r="C41" s="33"/>
      <x:c r="D41" s="33"/>
      <x:c r="E41" s="36"/>
      <x:c r="F41" s="36"/>
      <x:c r="G41" s="33"/>
      <x:c r="H41" s="33"/>
      <x:c r="I41" s="33"/>
      <x:c r="J41" s="33"/>
      <x:c r="K41" s="33"/>
      <x:c r="L41" s="33"/>
      <x:c r="M41" s="33"/>
      <x:c r="N41" s="37"/>
      <x:c r="O41" s="33"/>
      <x:c r="P41" s="33"/>
      <x:c r="Q41" s="33"/>
      <x:c r="R41" s="37"/>
      <x:c r="S41" s="33"/>
      <x:c r="T41" s="33"/>
      <x:c r="U41" s="33"/>
      <x:c r="V41" s="38"/>
      <x:c r="W41" s="34"/>
      <x:c r="X41" s="34"/>
      <x:c r="Y41" s="34"/>
      <x:c r="Z41" s="34"/>
      <x:c r="AA41" s="34"/>
      <x:c r="AB41" s="34"/>
      <x:c r="AC41" s="34"/>
      <x:c r="AD41" s="34"/>
      <x:c r="AE41" s="34"/>
      <x:c r="AF41" s="34"/>
      <x:c r="AG41" s="34"/>
      <x:c r="AH41" s="35" t="str">
        <x:f>IF(COUNTA(X41:AA41)&lt;4,"",ROUND((X41*20)*45%+(((Y41-1)/4*100)*30%+((Z41-1)/4*100)*25%+(1-(AA41-1)/4)*100*25%+(1-(MAX(1,AC41:AE41)-1)/4)*100*20%)*55%,0))</x:f>
      </x:c>
      <x:c r="AI41" s="35" t="str">
        <x:f>IF(AH41="","",IF(AH41&gt;=85,"Excelente",IF(AH41&gt;=70,"Adequado",IF(AH41&gt;=50,"Atenção","Crítico"))))</x:f>
      </x:c>
    </x:row>
    <x:row r="42">
      <x:c r="A42" s="33"/>
      <x:c r="B42" s="33"/>
      <x:c r="C42" s="33"/>
      <x:c r="D42" s="33"/>
      <x:c r="E42" s="36"/>
      <x:c r="F42" s="36"/>
      <x:c r="G42" s="33"/>
      <x:c r="H42" s="33"/>
      <x:c r="I42" s="33"/>
      <x:c r="J42" s="33"/>
      <x:c r="K42" s="33"/>
      <x:c r="L42" s="33"/>
      <x:c r="M42" s="33"/>
      <x:c r="N42" s="37"/>
      <x:c r="O42" s="33"/>
      <x:c r="P42" s="33"/>
      <x:c r="Q42" s="33"/>
      <x:c r="R42" s="37"/>
      <x:c r="S42" s="33"/>
      <x:c r="T42" s="33"/>
      <x:c r="U42" s="33"/>
      <x:c r="V42" s="38"/>
      <x:c r="W42" s="34"/>
      <x:c r="X42" s="34"/>
      <x:c r="Y42" s="34"/>
      <x:c r="Z42" s="34"/>
      <x:c r="AA42" s="34"/>
      <x:c r="AB42" s="34"/>
      <x:c r="AC42" s="34"/>
      <x:c r="AD42" s="34"/>
      <x:c r="AE42" s="34"/>
      <x:c r="AF42" s="34"/>
      <x:c r="AG42" s="34"/>
      <x:c r="AH42" s="35" t="str">
        <x:f>IF(COUNTA(X42:AA42)&lt;4,"",ROUND((X42*20)*45%+(((Y42-1)/4*100)*30%+((Z42-1)/4*100)*25%+(1-(AA42-1)/4)*100*25%+(1-(MAX(1,AC42:AE42)-1)/4)*100*20%)*55%,0))</x:f>
      </x:c>
      <x:c r="AI42" s="35" t="str">
        <x:f>IF(AH42="","",IF(AH42&gt;=85,"Excelente",IF(AH42&gt;=70,"Adequado",IF(AH42&gt;=50,"Atenção","Crítico"))))</x:f>
      </x:c>
    </x:row>
    <x:row r="43">
      <x:c r="A43" s="33"/>
      <x:c r="B43" s="33"/>
      <x:c r="C43" s="33"/>
      <x:c r="D43" s="33"/>
      <x:c r="E43" s="36"/>
      <x:c r="F43" s="36"/>
      <x:c r="G43" s="33"/>
      <x:c r="H43" s="33"/>
      <x:c r="I43" s="33"/>
      <x:c r="J43" s="33"/>
      <x:c r="K43" s="33"/>
      <x:c r="L43" s="33"/>
      <x:c r="M43" s="33"/>
      <x:c r="N43" s="37"/>
      <x:c r="O43" s="33"/>
      <x:c r="P43" s="33"/>
      <x:c r="Q43" s="33"/>
      <x:c r="R43" s="37"/>
      <x:c r="S43" s="33"/>
      <x:c r="T43" s="33"/>
      <x:c r="U43" s="33"/>
      <x:c r="V43" s="38"/>
      <x:c r="W43" s="34"/>
      <x:c r="X43" s="34"/>
      <x:c r="Y43" s="34"/>
      <x:c r="Z43" s="34"/>
      <x:c r="AA43" s="34"/>
      <x:c r="AB43" s="34"/>
      <x:c r="AC43" s="34"/>
      <x:c r="AD43" s="34"/>
      <x:c r="AE43" s="34"/>
      <x:c r="AF43" s="34"/>
      <x:c r="AG43" s="34"/>
      <x:c r="AH43" s="35" t="str">
        <x:f>IF(COUNTA(X43:AA43)&lt;4,"",ROUND((X43*20)*45%+(((Y43-1)/4*100)*30%+((Z43-1)/4*100)*25%+(1-(AA43-1)/4)*100*25%+(1-(MAX(1,AC43:AE43)-1)/4)*100*20%)*55%,0))</x:f>
      </x:c>
      <x:c r="AI43" s="35" t="str">
        <x:f>IF(AH43="","",IF(AH43&gt;=85,"Excelente",IF(AH43&gt;=70,"Adequado",IF(AH43&gt;=50,"Atenção","Crítico"))))</x:f>
      </x:c>
    </x:row>
    <x:row r="44">
      <x:c r="A44" s="33"/>
      <x:c r="B44" s="33"/>
      <x:c r="C44" s="33"/>
      <x:c r="D44" s="33"/>
      <x:c r="E44" s="36"/>
      <x:c r="F44" s="36"/>
      <x:c r="G44" s="33"/>
      <x:c r="H44" s="33"/>
      <x:c r="I44" s="33"/>
      <x:c r="J44" s="33"/>
      <x:c r="K44" s="33"/>
      <x:c r="L44" s="33"/>
      <x:c r="M44" s="33"/>
      <x:c r="N44" s="37"/>
      <x:c r="O44" s="33"/>
      <x:c r="P44" s="33"/>
      <x:c r="Q44" s="33"/>
      <x:c r="R44" s="37"/>
      <x:c r="S44" s="33"/>
      <x:c r="T44" s="33"/>
      <x:c r="U44" s="33"/>
      <x:c r="V44" s="38"/>
      <x:c r="W44" s="34"/>
      <x:c r="X44" s="34"/>
      <x:c r="Y44" s="34"/>
      <x:c r="Z44" s="34"/>
      <x:c r="AA44" s="34"/>
      <x:c r="AB44" s="34"/>
      <x:c r="AC44" s="34"/>
      <x:c r="AD44" s="34"/>
      <x:c r="AE44" s="34"/>
      <x:c r="AF44" s="34"/>
      <x:c r="AG44" s="34"/>
      <x:c r="AH44" s="35" t="str">
        <x:f>IF(COUNTA(X44:AA44)&lt;4,"",ROUND((X44*20)*45%+(((Y44-1)/4*100)*30%+((Z44-1)/4*100)*25%+(1-(AA44-1)/4)*100*25%+(1-(MAX(1,AC44:AE44)-1)/4)*100*20%)*55%,0))</x:f>
      </x:c>
      <x:c r="AI44" s="35" t="str">
        <x:f>IF(AH44="","",IF(AH44&gt;=85,"Excelente",IF(AH44&gt;=70,"Adequado",IF(AH44&gt;=50,"Atenção","Crítico"))))</x:f>
      </x:c>
    </x:row>
    <x:row r="45">
      <x:c r="A45" s="33"/>
      <x:c r="B45" s="33"/>
      <x:c r="C45" s="33"/>
      <x:c r="D45" s="33"/>
      <x:c r="E45" s="36"/>
      <x:c r="F45" s="36"/>
      <x:c r="G45" s="33"/>
      <x:c r="H45" s="33"/>
      <x:c r="I45" s="33"/>
      <x:c r="J45" s="33"/>
      <x:c r="K45" s="33"/>
      <x:c r="L45" s="33"/>
      <x:c r="M45" s="33"/>
      <x:c r="N45" s="37"/>
      <x:c r="O45" s="33"/>
      <x:c r="P45" s="33"/>
      <x:c r="Q45" s="33"/>
      <x:c r="R45" s="37"/>
      <x:c r="S45" s="33"/>
      <x:c r="T45" s="33"/>
      <x:c r="U45" s="33"/>
      <x:c r="V45" s="38"/>
      <x:c r="W45" s="34"/>
      <x:c r="X45" s="34"/>
      <x:c r="Y45" s="34"/>
      <x:c r="Z45" s="34"/>
      <x:c r="AA45" s="34"/>
      <x:c r="AB45" s="34"/>
      <x:c r="AC45" s="34"/>
      <x:c r="AD45" s="34"/>
      <x:c r="AE45" s="34"/>
      <x:c r="AF45" s="34"/>
      <x:c r="AG45" s="34"/>
      <x:c r="AH45" s="35" t="str">
        <x:f>IF(COUNTA(X45:AA45)&lt;4,"",ROUND((X45*20)*45%+(((Y45-1)/4*100)*30%+((Z45-1)/4*100)*25%+(1-(AA45-1)/4)*100*25%+(1-(MAX(1,AC45:AE45)-1)/4)*100*20%)*55%,0))</x:f>
      </x:c>
      <x:c r="AI45" s="35" t="str">
        <x:f>IF(AH45="","",IF(AH45&gt;=85,"Excelente",IF(AH45&gt;=70,"Adequado",IF(AH45&gt;=50,"Atenção","Crítico"))))</x:f>
      </x:c>
    </x:row>
    <x:row r="46">
      <x:c r="A46" s="33"/>
      <x:c r="B46" s="33"/>
      <x:c r="C46" s="33"/>
      <x:c r="D46" s="33"/>
      <x:c r="E46" s="36"/>
      <x:c r="F46" s="36"/>
      <x:c r="G46" s="33"/>
      <x:c r="H46" s="33"/>
      <x:c r="I46" s="33"/>
      <x:c r="J46" s="33"/>
      <x:c r="K46" s="33"/>
      <x:c r="L46" s="33"/>
      <x:c r="M46" s="33"/>
      <x:c r="N46" s="37"/>
      <x:c r="O46" s="33"/>
      <x:c r="P46" s="33"/>
      <x:c r="Q46" s="33"/>
      <x:c r="R46" s="37"/>
      <x:c r="S46" s="33"/>
      <x:c r="T46" s="33"/>
      <x:c r="U46" s="33"/>
      <x:c r="V46" s="38"/>
      <x:c r="W46" s="34"/>
      <x:c r="X46" s="34"/>
      <x:c r="Y46" s="34"/>
      <x:c r="Z46" s="34"/>
      <x:c r="AA46" s="34"/>
      <x:c r="AB46" s="34"/>
      <x:c r="AC46" s="34"/>
      <x:c r="AD46" s="34"/>
      <x:c r="AE46" s="34"/>
      <x:c r="AF46" s="34"/>
      <x:c r="AG46" s="34"/>
      <x:c r="AH46" s="35" t="str">
        <x:f>IF(COUNTA(X46:AA46)&lt;4,"",ROUND((X46*20)*45%+(((Y46-1)/4*100)*30%+((Z46-1)/4*100)*25%+(1-(AA46-1)/4)*100*25%+(1-(MAX(1,AC46:AE46)-1)/4)*100*20%)*55%,0))</x:f>
      </x:c>
      <x:c r="AI46" s="35" t="str">
        <x:f>IF(AH46="","",IF(AH46&gt;=85,"Excelente",IF(AH46&gt;=70,"Adequado",IF(AH46&gt;=50,"Atenção","Crítico"))))</x:f>
      </x:c>
    </x:row>
    <x:row r="47">
      <x:c r="A47" s="33"/>
      <x:c r="B47" s="33"/>
      <x:c r="C47" s="33"/>
      <x:c r="D47" s="33"/>
      <x:c r="E47" s="36"/>
      <x:c r="F47" s="36"/>
      <x:c r="G47" s="33"/>
      <x:c r="H47" s="33"/>
      <x:c r="I47" s="33"/>
      <x:c r="J47" s="33"/>
      <x:c r="K47" s="33"/>
      <x:c r="L47" s="33"/>
      <x:c r="M47" s="33"/>
      <x:c r="N47" s="37"/>
      <x:c r="O47" s="33"/>
      <x:c r="P47" s="33"/>
      <x:c r="Q47" s="33"/>
      <x:c r="R47" s="37"/>
      <x:c r="S47" s="33"/>
      <x:c r="T47" s="33"/>
      <x:c r="U47" s="33"/>
      <x:c r="V47" s="38"/>
      <x:c r="W47" s="34"/>
      <x:c r="X47" s="34"/>
      <x:c r="Y47" s="34"/>
      <x:c r="Z47" s="34"/>
      <x:c r="AA47" s="34"/>
      <x:c r="AB47" s="34"/>
      <x:c r="AC47" s="34"/>
      <x:c r="AD47" s="34"/>
      <x:c r="AE47" s="34"/>
      <x:c r="AF47" s="34"/>
      <x:c r="AG47" s="34"/>
      <x:c r="AH47" s="35" t="str">
        <x:f>IF(COUNTA(X47:AA47)&lt;4,"",ROUND((X47*20)*45%+(((Y47-1)/4*100)*30%+((Z47-1)/4*100)*25%+(1-(AA47-1)/4)*100*25%+(1-(MAX(1,AC47:AE47)-1)/4)*100*20%)*55%,0))</x:f>
      </x:c>
      <x:c r="AI47" s="35" t="str">
        <x:f>IF(AH47="","",IF(AH47&gt;=85,"Excelente",IF(AH47&gt;=70,"Adequado",IF(AH47&gt;=50,"Atenção","Crítico"))))</x:f>
      </x:c>
    </x:row>
    <x:row r="48">
      <x:c r="A48" s="33"/>
      <x:c r="B48" s="33"/>
      <x:c r="C48" s="33"/>
      <x:c r="D48" s="33"/>
      <x:c r="E48" s="36"/>
      <x:c r="F48" s="36"/>
      <x:c r="G48" s="33"/>
      <x:c r="H48" s="33"/>
      <x:c r="I48" s="33"/>
      <x:c r="J48" s="33"/>
      <x:c r="K48" s="33"/>
      <x:c r="L48" s="33"/>
      <x:c r="M48" s="33"/>
      <x:c r="N48" s="37"/>
      <x:c r="O48" s="33"/>
      <x:c r="P48" s="33"/>
      <x:c r="Q48" s="33"/>
      <x:c r="R48" s="37"/>
      <x:c r="S48" s="33"/>
      <x:c r="T48" s="33"/>
      <x:c r="U48" s="33"/>
      <x:c r="V48" s="38"/>
      <x:c r="W48" s="34"/>
      <x:c r="X48" s="34"/>
      <x:c r="Y48" s="34"/>
      <x:c r="Z48" s="34"/>
      <x:c r="AA48" s="34"/>
      <x:c r="AB48" s="34"/>
      <x:c r="AC48" s="34"/>
      <x:c r="AD48" s="34"/>
      <x:c r="AE48" s="34"/>
      <x:c r="AF48" s="34"/>
      <x:c r="AG48" s="34"/>
      <x:c r="AH48" s="35" t="str">
        <x:f>IF(COUNTA(X48:AA48)&lt;4,"",ROUND((X48*20)*45%+(((Y48-1)/4*100)*30%+((Z48-1)/4*100)*25%+(1-(AA48-1)/4)*100*25%+(1-(MAX(1,AC48:AE48)-1)/4)*100*20%)*55%,0))</x:f>
      </x:c>
      <x:c r="AI48" s="35" t="str">
        <x:f>IF(AH48="","",IF(AH48&gt;=85,"Excelente",IF(AH48&gt;=70,"Adequado",IF(AH48&gt;=50,"Atenção","Crítico"))))</x:f>
      </x:c>
    </x:row>
    <x:row r="49">
      <x:c r="A49" s="33"/>
      <x:c r="B49" s="33"/>
      <x:c r="C49" s="33"/>
      <x:c r="D49" s="33"/>
      <x:c r="E49" s="36"/>
      <x:c r="F49" s="36"/>
      <x:c r="G49" s="33"/>
      <x:c r="H49" s="33"/>
      <x:c r="I49" s="33"/>
      <x:c r="J49" s="33"/>
      <x:c r="K49" s="33"/>
      <x:c r="L49" s="33"/>
      <x:c r="M49" s="33"/>
      <x:c r="N49" s="37"/>
      <x:c r="O49" s="33"/>
      <x:c r="P49" s="33"/>
      <x:c r="Q49" s="33"/>
      <x:c r="R49" s="37"/>
      <x:c r="S49" s="33"/>
      <x:c r="T49" s="33"/>
      <x:c r="U49" s="33"/>
      <x:c r="V49" s="38"/>
      <x:c r="W49" s="34"/>
      <x:c r="X49" s="34"/>
      <x:c r="Y49" s="34"/>
      <x:c r="Z49" s="34"/>
      <x:c r="AA49" s="34"/>
      <x:c r="AB49" s="34"/>
      <x:c r="AC49" s="34"/>
      <x:c r="AD49" s="34"/>
      <x:c r="AE49" s="34"/>
      <x:c r="AF49" s="34"/>
      <x:c r="AG49" s="34"/>
      <x:c r="AH49" s="35" t="str">
        <x:f>IF(COUNTA(X49:AA49)&lt;4,"",ROUND((X49*20)*45%+(((Y49-1)/4*100)*30%+((Z49-1)/4*100)*25%+(1-(AA49-1)/4)*100*25%+(1-(MAX(1,AC49:AE49)-1)/4)*100*20%)*55%,0))</x:f>
      </x:c>
      <x:c r="AI49" s="35" t="str">
        <x:f>IF(AH49="","",IF(AH49&gt;=85,"Excelente",IF(AH49&gt;=70,"Adequado",IF(AH49&gt;=50,"Atenção","Crítico"))))</x:f>
      </x:c>
    </x:row>
    <x:row r="50">
      <x:c r="A50" s="33"/>
      <x:c r="B50" s="33"/>
      <x:c r="C50" s="33"/>
      <x:c r="D50" s="33"/>
      <x:c r="E50" s="36"/>
      <x:c r="F50" s="36"/>
      <x:c r="G50" s="33"/>
      <x:c r="H50" s="33"/>
      <x:c r="I50" s="33"/>
      <x:c r="J50" s="33"/>
      <x:c r="K50" s="33"/>
      <x:c r="L50" s="33"/>
      <x:c r="M50" s="33"/>
      <x:c r="N50" s="37"/>
      <x:c r="O50" s="33"/>
      <x:c r="P50" s="33"/>
      <x:c r="Q50" s="33"/>
      <x:c r="R50" s="37"/>
      <x:c r="S50" s="33"/>
      <x:c r="T50" s="33"/>
      <x:c r="U50" s="33"/>
      <x:c r="V50" s="38"/>
      <x:c r="W50" s="34"/>
      <x:c r="X50" s="34"/>
      <x:c r="Y50" s="34"/>
      <x:c r="Z50" s="34"/>
      <x:c r="AA50" s="34"/>
      <x:c r="AB50" s="34"/>
      <x:c r="AC50" s="34"/>
      <x:c r="AD50" s="34"/>
      <x:c r="AE50" s="34"/>
      <x:c r="AF50" s="34"/>
      <x:c r="AG50" s="34"/>
      <x:c r="AH50" s="35" t="str">
        <x:f>IF(COUNTA(X50:AA50)&lt;4,"",ROUND((X50*20)*45%+(((Y50-1)/4*100)*30%+((Z50-1)/4*100)*25%+(1-(AA50-1)/4)*100*25%+(1-(MAX(1,AC50:AE50)-1)/4)*100*20%)*55%,0))</x:f>
      </x:c>
      <x:c r="AI50" s="35" t="str">
        <x:f>IF(AH50="","",IF(AH50&gt;=85,"Excelente",IF(AH50&gt;=70,"Adequado",IF(AH50&gt;=50,"Atenção","Crítico"))))</x:f>
      </x:c>
    </x:row>
    <x:row r="51">
      <x:c r="A51" s="33"/>
      <x:c r="B51" s="33"/>
      <x:c r="C51" s="33"/>
      <x:c r="D51" s="33"/>
      <x:c r="E51" s="36"/>
      <x:c r="F51" s="36"/>
      <x:c r="G51" s="33"/>
      <x:c r="H51" s="33"/>
      <x:c r="I51" s="33"/>
      <x:c r="J51" s="33"/>
      <x:c r="K51" s="33"/>
      <x:c r="L51" s="33"/>
      <x:c r="M51" s="33"/>
      <x:c r="N51" s="37"/>
      <x:c r="O51" s="33"/>
      <x:c r="P51" s="33"/>
      <x:c r="Q51" s="33"/>
      <x:c r="R51" s="37"/>
      <x:c r="S51" s="33"/>
      <x:c r="T51" s="33"/>
      <x:c r="U51" s="33"/>
      <x:c r="V51" s="38"/>
      <x:c r="W51" s="34"/>
      <x:c r="X51" s="34"/>
      <x:c r="Y51" s="34"/>
      <x:c r="Z51" s="34"/>
      <x:c r="AA51" s="34"/>
      <x:c r="AB51" s="34"/>
      <x:c r="AC51" s="34"/>
      <x:c r="AD51" s="34"/>
      <x:c r="AE51" s="34"/>
      <x:c r="AF51" s="34"/>
      <x:c r="AG51" s="34"/>
      <x:c r="AH51" s="35" t="str">
        <x:f>IF(COUNTA(X51:AA51)&lt;4,"",ROUND((X51*20)*45%+(((Y51-1)/4*100)*30%+((Z51-1)/4*100)*25%+(1-(AA51-1)/4)*100*25%+(1-(MAX(1,AC51:AE51)-1)/4)*100*20%)*55%,0))</x:f>
      </x:c>
      <x:c r="AI51" s="35" t="str">
        <x:f>IF(AH51="","",IF(AH51&gt;=85,"Excelente",IF(AH51&gt;=70,"Adequado",IF(AH51&gt;=50,"Atenção","Crítico"))))</x:f>
      </x:c>
    </x:row>
    <x:row r="52">
      <x:c r="A52" s="33"/>
      <x:c r="B52" s="33"/>
      <x:c r="C52" s="33"/>
      <x:c r="D52" s="33"/>
      <x:c r="E52" s="36"/>
      <x:c r="F52" s="36"/>
      <x:c r="G52" s="33"/>
      <x:c r="H52" s="33"/>
      <x:c r="I52" s="33"/>
      <x:c r="J52" s="33"/>
      <x:c r="K52" s="33"/>
      <x:c r="L52" s="33"/>
      <x:c r="M52" s="33"/>
      <x:c r="N52" s="37"/>
      <x:c r="O52" s="33"/>
      <x:c r="P52" s="33"/>
      <x:c r="Q52" s="33"/>
      <x:c r="R52" s="37"/>
      <x:c r="S52" s="33"/>
      <x:c r="T52" s="33"/>
      <x:c r="U52" s="33"/>
      <x:c r="V52" s="38"/>
      <x:c r="W52" s="34"/>
      <x:c r="X52" s="34"/>
      <x:c r="Y52" s="34"/>
      <x:c r="Z52" s="34"/>
      <x:c r="AA52" s="34"/>
      <x:c r="AB52" s="34"/>
      <x:c r="AC52" s="34"/>
      <x:c r="AD52" s="34"/>
      <x:c r="AE52" s="34"/>
      <x:c r="AF52" s="34"/>
      <x:c r="AG52" s="34"/>
      <x:c r="AH52" s="35" t="str">
        <x:f>IF(COUNTA(X52:AA52)&lt;4,"",ROUND((X52*20)*45%+(((Y52-1)/4*100)*30%+((Z52-1)/4*100)*25%+(1-(AA52-1)/4)*100*25%+(1-(MAX(1,AC52:AE52)-1)/4)*100*20%)*55%,0))</x:f>
      </x:c>
      <x:c r="AI52" s="35" t="str">
        <x:f>IF(AH52="","",IF(AH52&gt;=85,"Excelente",IF(AH52&gt;=70,"Adequado",IF(AH52&gt;=50,"Atenção","Crítico"))))</x:f>
      </x:c>
    </x:row>
    <x:row r="53">
      <x:c r="A53" s="33"/>
      <x:c r="B53" s="33"/>
      <x:c r="C53" s="33"/>
      <x:c r="D53" s="33"/>
      <x:c r="E53" s="36"/>
      <x:c r="F53" s="36"/>
      <x:c r="G53" s="33"/>
      <x:c r="H53" s="33"/>
      <x:c r="I53" s="33"/>
      <x:c r="J53" s="33"/>
      <x:c r="K53" s="33"/>
      <x:c r="L53" s="33"/>
      <x:c r="M53" s="33"/>
      <x:c r="N53" s="37"/>
      <x:c r="O53" s="33"/>
      <x:c r="P53" s="33"/>
      <x:c r="Q53" s="33"/>
      <x:c r="R53" s="37"/>
      <x:c r="S53" s="33"/>
      <x:c r="T53" s="33"/>
      <x:c r="U53" s="33"/>
      <x:c r="V53" s="38"/>
      <x:c r="W53" s="34"/>
      <x:c r="X53" s="34"/>
      <x:c r="Y53" s="34"/>
      <x:c r="Z53" s="34"/>
      <x:c r="AA53" s="34"/>
      <x:c r="AB53" s="34"/>
      <x:c r="AC53" s="34"/>
      <x:c r="AD53" s="34"/>
      <x:c r="AE53" s="34"/>
      <x:c r="AF53" s="34"/>
      <x:c r="AG53" s="34"/>
      <x:c r="AH53" s="35" t="str">
        <x:f>IF(COUNTA(X53:AA53)&lt;4,"",ROUND((X53*20)*45%+(((Y53-1)/4*100)*30%+((Z53-1)/4*100)*25%+(1-(AA53-1)/4)*100*25%+(1-(MAX(1,AC53:AE53)-1)/4)*100*20%)*55%,0))</x:f>
      </x:c>
      <x:c r="AI53" s="35" t="str">
        <x:f>IF(AH53="","",IF(AH53&gt;=85,"Excelente",IF(AH53&gt;=70,"Adequado",IF(AH53&gt;=50,"Atenção","Crítico"))))</x:f>
      </x:c>
    </x:row>
    <x:row r="54">
      <x:c r="A54" s="33"/>
      <x:c r="B54" s="33"/>
      <x:c r="C54" s="33"/>
      <x:c r="D54" s="33"/>
      <x:c r="E54" s="36"/>
      <x:c r="F54" s="36"/>
      <x:c r="G54" s="33"/>
      <x:c r="H54" s="33"/>
      <x:c r="I54" s="33"/>
      <x:c r="J54" s="33"/>
      <x:c r="K54" s="33"/>
      <x:c r="L54" s="33"/>
      <x:c r="M54" s="33"/>
      <x:c r="N54" s="37"/>
      <x:c r="O54" s="33"/>
      <x:c r="P54" s="33"/>
      <x:c r="Q54" s="33"/>
      <x:c r="R54" s="37"/>
      <x:c r="S54" s="33"/>
      <x:c r="T54" s="33"/>
      <x:c r="U54" s="33"/>
      <x:c r="V54" s="38"/>
      <x:c r="W54" s="34"/>
      <x:c r="X54" s="34"/>
      <x:c r="Y54" s="34"/>
      <x:c r="Z54" s="34"/>
      <x:c r="AA54" s="34"/>
      <x:c r="AB54" s="34"/>
      <x:c r="AC54" s="34"/>
      <x:c r="AD54" s="34"/>
      <x:c r="AE54" s="34"/>
      <x:c r="AF54" s="34"/>
      <x:c r="AG54" s="34"/>
      <x:c r="AH54" s="35" t="str">
        <x:f>IF(COUNTA(X54:AA54)&lt;4,"",ROUND((X54*20)*45%+(((Y54-1)/4*100)*30%+((Z54-1)/4*100)*25%+(1-(AA54-1)/4)*100*25%+(1-(MAX(1,AC54:AE54)-1)/4)*100*20%)*55%,0))</x:f>
      </x:c>
      <x:c r="AI54" s="35" t="str">
        <x:f>IF(AH54="","",IF(AH54&gt;=85,"Excelente",IF(AH54&gt;=70,"Adequado",IF(AH54&gt;=50,"Atenção","Crítico"))))</x:f>
      </x:c>
    </x:row>
    <x:row r="55">
      <x:c r="A55" s="33"/>
      <x:c r="B55" s="33"/>
      <x:c r="C55" s="33"/>
      <x:c r="D55" s="33"/>
      <x:c r="E55" s="36"/>
      <x:c r="F55" s="36"/>
      <x:c r="G55" s="33"/>
      <x:c r="H55" s="33"/>
      <x:c r="I55" s="33"/>
      <x:c r="J55" s="33"/>
      <x:c r="K55" s="33"/>
      <x:c r="L55" s="33"/>
      <x:c r="M55" s="33"/>
      <x:c r="N55" s="37"/>
      <x:c r="O55" s="33"/>
      <x:c r="P55" s="33"/>
      <x:c r="Q55" s="33"/>
      <x:c r="R55" s="37"/>
      <x:c r="S55" s="33"/>
      <x:c r="T55" s="33"/>
      <x:c r="U55" s="33"/>
      <x:c r="V55" s="38"/>
      <x:c r="W55" s="34"/>
      <x:c r="X55" s="34"/>
      <x:c r="Y55" s="34"/>
      <x:c r="Z55" s="34"/>
      <x:c r="AA55" s="34"/>
      <x:c r="AB55" s="34"/>
      <x:c r="AC55" s="34"/>
      <x:c r="AD55" s="34"/>
      <x:c r="AE55" s="34"/>
      <x:c r="AF55" s="34"/>
      <x:c r="AG55" s="34"/>
      <x:c r="AH55" s="35" t="str">
        <x:f>IF(COUNTA(X55:AA55)&lt;4,"",ROUND((X55*20)*45%+(((Y55-1)/4*100)*30%+((Z55-1)/4*100)*25%+(1-(AA55-1)/4)*100*25%+(1-(MAX(1,AC55:AE55)-1)/4)*100*20%)*55%,0))</x:f>
      </x:c>
      <x:c r="AI55" s="35" t="str">
        <x:f>IF(AH55="","",IF(AH55&gt;=85,"Excelente",IF(AH55&gt;=70,"Adequado",IF(AH55&gt;=50,"Atenção","Crítico"))))</x:f>
      </x:c>
    </x:row>
    <x:row r="56">
      <x:c r="A56" s="33"/>
      <x:c r="B56" s="33"/>
      <x:c r="C56" s="33"/>
      <x:c r="D56" s="33"/>
      <x:c r="E56" s="36"/>
      <x:c r="F56" s="36"/>
      <x:c r="G56" s="33"/>
      <x:c r="H56" s="33"/>
      <x:c r="I56" s="33"/>
      <x:c r="J56" s="33"/>
      <x:c r="K56" s="33"/>
      <x:c r="L56" s="33"/>
      <x:c r="M56" s="33"/>
      <x:c r="N56" s="37"/>
      <x:c r="O56" s="33"/>
      <x:c r="P56" s="33"/>
      <x:c r="Q56" s="33"/>
      <x:c r="R56" s="37"/>
      <x:c r="S56" s="33"/>
      <x:c r="T56" s="33"/>
      <x:c r="U56" s="33"/>
      <x:c r="V56" s="38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5" t="str">
        <x:f>IF(COUNTA(X56:AA56)&lt;4,"",ROUND((X56*20)*45%+(((Y56-1)/4*100)*30%+((Z56-1)/4*100)*25%+(1-(AA56-1)/4)*100*25%+(1-(MAX(1,AC56:AE56)-1)/4)*100*20%)*55%,0))</x:f>
      </x:c>
      <x:c r="AI56" s="35" t="str">
        <x:f>IF(AH56="","",IF(AH56&gt;=85,"Excelente",IF(AH56&gt;=70,"Adequado",IF(AH56&gt;=50,"Atenção","Crítico"))))</x:f>
      </x:c>
    </x:row>
    <x:row r="57">
      <x:c r="A57" s="33"/>
      <x:c r="B57" s="33"/>
      <x:c r="C57" s="33"/>
      <x:c r="D57" s="33"/>
      <x:c r="E57" s="36"/>
      <x:c r="F57" s="36"/>
      <x:c r="G57" s="33"/>
      <x:c r="H57" s="33"/>
      <x:c r="I57" s="33"/>
      <x:c r="J57" s="33"/>
      <x:c r="K57" s="33"/>
      <x:c r="L57" s="33"/>
      <x:c r="M57" s="33"/>
      <x:c r="N57" s="37"/>
      <x:c r="O57" s="33"/>
      <x:c r="P57" s="33"/>
      <x:c r="Q57" s="33"/>
      <x:c r="R57" s="37"/>
      <x:c r="S57" s="33"/>
      <x:c r="T57" s="33"/>
      <x:c r="U57" s="33"/>
      <x:c r="V57" s="38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5" t="str">
        <x:f>IF(COUNTA(X57:AA57)&lt;4,"",ROUND((X57*20)*45%+(((Y57-1)/4*100)*30%+((Z57-1)/4*100)*25%+(1-(AA57-1)/4)*100*25%+(1-(MAX(1,AC57:AE57)-1)/4)*100*20%)*55%,0))</x:f>
      </x:c>
      <x:c r="AI57" s="35" t="str">
        <x:f>IF(AH57="","",IF(AH57&gt;=85,"Excelente",IF(AH57&gt;=70,"Adequado",IF(AH57&gt;=50,"Atenção","Crítico"))))</x:f>
      </x:c>
    </x:row>
    <x:row r="58">
      <x:c r="A58" s="33"/>
      <x:c r="B58" s="33"/>
      <x:c r="C58" s="33"/>
      <x:c r="D58" s="33"/>
      <x:c r="E58" s="36"/>
      <x:c r="F58" s="36"/>
      <x:c r="G58" s="33"/>
      <x:c r="H58" s="33"/>
      <x:c r="I58" s="33"/>
      <x:c r="J58" s="33"/>
      <x:c r="K58" s="33"/>
      <x:c r="L58" s="33"/>
      <x:c r="M58" s="33"/>
      <x:c r="N58" s="37"/>
      <x:c r="O58" s="33"/>
      <x:c r="P58" s="33"/>
      <x:c r="Q58" s="33"/>
      <x:c r="R58" s="37"/>
      <x:c r="S58" s="33"/>
      <x:c r="T58" s="33"/>
      <x:c r="U58" s="33"/>
      <x:c r="V58" s="38"/>
      <x:c r="W58" s="34"/>
      <x:c r="X58" s="34"/>
      <x:c r="Y58" s="34"/>
      <x:c r="Z58" s="34"/>
      <x:c r="AA58" s="34"/>
      <x:c r="AB58" s="34"/>
      <x:c r="AC58" s="34"/>
      <x:c r="AD58" s="34"/>
      <x:c r="AE58" s="34"/>
      <x:c r="AF58" s="34"/>
      <x:c r="AG58" s="34"/>
      <x:c r="AH58" s="35" t="str">
        <x:f>IF(COUNTA(X58:AA58)&lt;4,"",ROUND((X58*20)*45%+(((Y58-1)/4*100)*30%+((Z58-1)/4*100)*25%+(1-(AA58-1)/4)*100*25%+(1-(MAX(1,AC58:AE58)-1)/4)*100*20%)*55%,0))</x:f>
      </x:c>
      <x:c r="AI58" s="35" t="str">
        <x:f>IF(AH58="","",IF(AH58&gt;=85,"Excelente",IF(AH58&gt;=70,"Adequado",IF(AH58&gt;=50,"Atenção","Crítico"))))</x:f>
      </x:c>
    </x:row>
    <x:row r="59">
      <x:c r="A59" s="33"/>
      <x:c r="B59" s="33"/>
      <x:c r="C59" s="33"/>
      <x:c r="D59" s="33"/>
      <x:c r="E59" s="36"/>
      <x:c r="F59" s="36"/>
      <x:c r="G59" s="33"/>
      <x:c r="H59" s="33"/>
      <x:c r="I59" s="33"/>
      <x:c r="J59" s="33"/>
      <x:c r="K59" s="33"/>
      <x:c r="L59" s="33"/>
      <x:c r="M59" s="33"/>
      <x:c r="N59" s="37"/>
      <x:c r="O59" s="33"/>
      <x:c r="P59" s="33"/>
      <x:c r="Q59" s="33"/>
      <x:c r="R59" s="37"/>
      <x:c r="S59" s="33"/>
      <x:c r="T59" s="33"/>
      <x:c r="U59" s="33"/>
      <x:c r="V59" s="38"/>
      <x:c r="W59" s="34"/>
      <x:c r="X59" s="34"/>
      <x:c r="Y59" s="34"/>
      <x:c r="Z59" s="34"/>
      <x:c r="AA59" s="34"/>
      <x:c r="AB59" s="34"/>
      <x:c r="AC59" s="34"/>
      <x:c r="AD59" s="34"/>
      <x:c r="AE59" s="34"/>
      <x:c r="AF59" s="34"/>
      <x:c r="AG59" s="34"/>
      <x:c r="AH59" s="35" t="str">
        <x:f>IF(COUNTA(X59:AA59)&lt;4,"",ROUND((X59*20)*45%+(((Y59-1)/4*100)*30%+((Z59-1)/4*100)*25%+(1-(AA59-1)/4)*100*25%+(1-(MAX(1,AC59:AE59)-1)/4)*100*20%)*55%,0))</x:f>
      </x:c>
      <x:c r="AI59" s="35" t="str">
        <x:f>IF(AH59="","",IF(AH59&gt;=85,"Excelente",IF(AH59&gt;=70,"Adequado",IF(AH59&gt;=50,"Atenção","Crítico"))))</x:f>
      </x:c>
    </x:row>
    <x:row r="60">
      <x:c r="A60" s="33"/>
      <x:c r="B60" s="33"/>
      <x:c r="C60" s="33"/>
      <x:c r="D60" s="33"/>
      <x:c r="E60" s="36"/>
      <x:c r="F60" s="36"/>
      <x:c r="G60" s="33"/>
      <x:c r="H60" s="33"/>
      <x:c r="I60" s="33"/>
      <x:c r="J60" s="33"/>
      <x:c r="K60" s="33"/>
      <x:c r="L60" s="33"/>
      <x:c r="M60" s="33"/>
      <x:c r="N60" s="37"/>
      <x:c r="O60" s="33"/>
      <x:c r="P60" s="33"/>
      <x:c r="Q60" s="33"/>
      <x:c r="R60" s="37"/>
      <x:c r="S60" s="33"/>
      <x:c r="T60" s="33"/>
      <x:c r="U60" s="33"/>
      <x:c r="V60" s="38"/>
      <x:c r="W60" s="34"/>
      <x:c r="X60" s="34"/>
      <x:c r="Y60" s="34"/>
      <x:c r="Z60" s="34"/>
      <x:c r="AA60" s="34"/>
      <x:c r="AB60" s="34"/>
      <x:c r="AC60" s="34"/>
      <x:c r="AD60" s="34"/>
      <x:c r="AE60" s="34"/>
      <x:c r="AF60" s="34"/>
      <x:c r="AG60" s="34"/>
      <x:c r="AH60" s="35" t="str">
        <x:f>IF(COUNTA(X60:AA60)&lt;4,"",ROUND((X60*20)*45%+(((Y60-1)/4*100)*30%+((Z60-1)/4*100)*25%+(1-(AA60-1)/4)*100*25%+(1-(MAX(1,AC60:AE60)-1)/4)*100*20%)*55%,0))</x:f>
      </x:c>
      <x:c r="AI60" s="35" t="str">
        <x:f>IF(AH60="","",IF(AH60&gt;=85,"Excelente",IF(AH60&gt;=70,"Adequado",IF(AH60&gt;=50,"Atenção","Crítico"))))</x:f>
      </x:c>
    </x:row>
    <x:row r="61">
      <x:c r="A61" s="33"/>
      <x:c r="B61" s="33"/>
      <x:c r="C61" s="33"/>
      <x:c r="D61" s="33"/>
      <x:c r="E61" s="36"/>
      <x:c r="F61" s="36"/>
      <x:c r="G61" s="33"/>
      <x:c r="H61" s="33"/>
      <x:c r="I61" s="33"/>
      <x:c r="J61" s="33"/>
      <x:c r="K61" s="33"/>
      <x:c r="L61" s="33"/>
      <x:c r="M61" s="33"/>
      <x:c r="N61" s="37"/>
      <x:c r="O61" s="33"/>
      <x:c r="P61" s="33"/>
      <x:c r="Q61" s="33"/>
      <x:c r="R61" s="37"/>
      <x:c r="S61" s="33"/>
      <x:c r="T61" s="33"/>
      <x:c r="U61" s="33"/>
      <x:c r="V61" s="38"/>
      <x:c r="W61" s="34"/>
      <x:c r="X61" s="34"/>
      <x:c r="Y61" s="34"/>
      <x:c r="Z61" s="34"/>
      <x:c r="AA61" s="34"/>
      <x:c r="AB61" s="34"/>
      <x:c r="AC61" s="34"/>
      <x:c r="AD61" s="34"/>
      <x:c r="AE61" s="34"/>
      <x:c r="AF61" s="34"/>
      <x:c r="AG61" s="34"/>
      <x:c r="AH61" s="35" t="str">
        <x:f>IF(COUNTA(X61:AA61)&lt;4,"",ROUND((X61*20)*45%+(((Y61-1)/4*100)*30%+((Z61-1)/4*100)*25%+(1-(AA61-1)/4)*100*25%+(1-(MAX(1,AC61:AE61)-1)/4)*100*20%)*55%,0))</x:f>
      </x:c>
      <x:c r="AI61" s="35" t="str">
        <x:f>IF(AH61="","",IF(AH61&gt;=85,"Excelente",IF(AH61&gt;=70,"Adequado",IF(AH61&gt;=50,"Atenção","Crítico"))))</x:f>
      </x:c>
    </x:row>
    <x:row r="62">
      <x:c r="A62" s="33"/>
      <x:c r="B62" s="33"/>
      <x:c r="C62" s="33"/>
      <x:c r="D62" s="33"/>
      <x:c r="E62" s="36"/>
      <x:c r="F62" s="36"/>
      <x:c r="G62" s="33"/>
      <x:c r="H62" s="33"/>
      <x:c r="I62" s="33"/>
      <x:c r="J62" s="33"/>
      <x:c r="K62" s="33"/>
      <x:c r="L62" s="33"/>
      <x:c r="M62" s="33"/>
      <x:c r="N62" s="37"/>
      <x:c r="O62" s="33"/>
      <x:c r="P62" s="33"/>
      <x:c r="Q62" s="33"/>
      <x:c r="R62" s="37"/>
      <x:c r="S62" s="33"/>
      <x:c r="T62" s="33"/>
      <x:c r="U62" s="33"/>
      <x:c r="V62" s="38"/>
      <x:c r="W62" s="34"/>
      <x:c r="X62" s="34"/>
      <x:c r="Y62" s="34"/>
      <x:c r="Z62" s="34"/>
      <x:c r="AA62" s="34"/>
      <x:c r="AB62" s="34"/>
      <x:c r="AC62" s="34"/>
      <x:c r="AD62" s="34"/>
      <x:c r="AE62" s="34"/>
      <x:c r="AF62" s="34"/>
      <x:c r="AG62" s="34"/>
      <x:c r="AH62" s="35" t="str">
        <x:f>IF(COUNTA(X62:AA62)&lt;4,"",ROUND((X62*20)*45%+(((Y62-1)/4*100)*30%+((Z62-1)/4*100)*25%+(1-(AA62-1)/4)*100*25%+(1-(MAX(1,AC62:AE62)-1)/4)*100*20%)*55%,0))</x:f>
      </x:c>
      <x:c r="AI62" s="35" t="str">
        <x:f>IF(AH62="","",IF(AH62&gt;=85,"Excelente",IF(AH62&gt;=70,"Adequado",IF(AH62&gt;=50,"Atenção","Crítico"))))</x:f>
      </x:c>
    </x:row>
    <x:row r="63">
      <x:c r="A63" s="33"/>
      <x:c r="B63" s="33"/>
      <x:c r="C63" s="33"/>
      <x:c r="D63" s="33"/>
      <x:c r="E63" s="36"/>
      <x:c r="F63" s="36"/>
      <x:c r="G63" s="33"/>
      <x:c r="H63" s="33"/>
      <x:c r="I63" s="33"/>
      <x:c r="J63" s="33"/>
      <x:c r="K63" s="33"/>
      <x:c r="L63" s="33"/>
      <x:c r="M63" s="33"/>
      <x:c r="N63" s="37"/>
      <x:c r="O63" s="33"/>
      <x:c r="P63" s="33"/>
      <x:c r="Q63" s="33"/>
      <x:c r="R63" s="37"/>
      <x:c r="S63" s="33"/>
      <x:c r="T63" s="33"/>
      <x:c r="U63" s="33"/>
      <x:c r="V63" s="38"/>
      <x:c r="W63" s="34"/>
      <x:c r="X63" s="34"/>
      <x:c r="Y63" s="34"/>
      <x:c r="Z63" s="34"/>
      <x:c r="AA63" s="34"/>
      <x:c r="AB63" s="34"/>
      <x:c r="AC63" s="34"/>
      <x:c r="AD63" s="34"/>
      <x:c r="AE63" s="34"/>
      <x:c r="AF63" s="34"/>
      <x:c r="AG63" s="34"/>
      <x:c r="AH63" s="35" t="str">
        <x:f>IF(COUNTA(X63:AA63)&lt;4,"",ROUND((X63*20)*45%+(((Y63-1)/4*100)*30%+((Z63-1)/4*100)*25%+(1-(AA63-1)/4)*100*25%+(1-(MAX(1,AC63:AE63)-1)/4)*100*20%)*55%,0))</x:f>
      </x:c>
      <x:c r="AI63" s="35" t="str">
        <x:f>IF(AH63="","",IF(AH63&gt;=85,"Excelente",IF(AH63&gt;=70,"Adequado",IF(AH63&gt;=50,"Atenção","Crítico"))))</x:f>
      </x:c>
    </x:row>
    <x:row r="64">
      <x:c r="A64" s="33"/>
      <x:c r="B64" s="33"/>
      <x:c r="C64" s="33"/>
      <x:c r="D64" s="33"/>
      <x:c r="E64" s="36"/>
      <x:c r="F64" s="36"/>
      <x:c r="G64" s="33"/>
      <x:c r="H64" s="33"/>
      <x:c r="I64" s="33"/>
      <x:c r="J64" s="33"/>
      <x:c r="K64" s="33"/>
      <x:c r="L64" s="33"/>
      <x:c r="M64" s="33"/>
      <x:c r="N64" s="37"/>
      <x:c r="O64" s="33"/>
      <x:c r="P64" s="33"/>
      <x:c r="Q64" s="33"/>
      <x:c r="R64" s="37"/>
      <x:c r="S64" s="33"/>
      <x:c r="T64" s="33"/>
      <x:c r="U64" s="33"/>
      <x:c r="V64" s="38"/>
      <x:c r="W64" s="34"/>
      <x:c r="X64" s="34"/>
      <x:c r="Y64" s="34"/>
      <x:c r="Z64" s="34"/>
      <x:c r="AA64" s="34"/>
      <x:c r="AB64" s="34"/>
      <x:c r="AC64" s="34"/>
      <x:c r="AD64" s="34"/>
      <x:c r="AE64" s="34"/>
      <x:c r="AF64" s="34"/>
      <x:c r="AG64" s="34"/>
      <x:c r="AH64" s="35" t="str">
        <x:f>IF(COUNTA(X64:AA64)&lt;4,"",ROUND((X64*20)*45%+(((Y64-1)/4*100)*30%+((Z64-1)/4*100)*25%+(1-(AA64-1)/4)*100*25%+(1-(MAX(1,AC64:AE64)-1)/4)*100*20%)*55%,0))</x:f>
      </x:c>
      <x:c r="AI64" s="35" t="str">
        <x:f>IF(AH64="","",IF(AH64&gt;=85,"Excelente",IF(AH64&gt;=70,"Adequado",IF(AH64&gt;=50,"Atenção","Crítico"))))</x:f>
      </x:c>
    </x:row>
    <x:row r="65">
      <x:c r="A65" s="33"/>
      <x:c r="B65" s="33"/>
      <x:c r="C65" s="33"/>
      <x:c r="D65" s="33"/>
      <x:c r="E65" s="36"/>
      <x:c r="F65" s="36"/>
      <x:c r="G65" s="33"/>
      <x:c r="H65" s="33"/>
      <x:c r="I65" s="33"/>
      <x:c r="J65" s="33"/>
      <x:c r="K65" s="33"/>
      <x:c r="L65" s="33"/>
      <x:c r="M65" s="33"/>
      <x:c r="N65" s="37"/>
      <x:c r="O65" s="33"/>
      <x:c r="P65" s="33"/>
      <x:c r="Q65" s="33"/>
      <x:c r="R65" s="37"/>
      <x:c r="S65" s="33"/>
      <x:c r="T65" s="33"/>
      <x:c r="U65" s="33"/>
      <x:c r="V65" s="38"/>
      <x:c r="W65" s="34"/>
      <x:c r="X65" s="34"/>
      <x:c r="Y65" s="34"/>
      <x:c r="Z65" s="34"/>
      <x:c r="AA65" s="34"/>
      <x:c r="AB65" s="34"/>
      <x:c r="AC65" s="34"/>
      <x:c r="AD65" s="34"/>
      <x:c r="AE65" s="34"/>
      <x:c r="AF65" s="34"/>
      <x:c r="AG65" s="34"/>
      <x:c r="AH65" s="35" t="str">
        <x:f>IF(COUNTA(X65:AA65)&lt;4,"",ROUND((X65*20)*45%+(((Y65-1)/4*100)*30%+((Z65-1)/4*100)*25%+(1-(AA65-1)/4)*100*25%+(1-(MAX(1,AC65:AE65)-1)/4)*100*20%)*55%,0))</x:f>
      </x:c>
      <x:c r="AI65" s="35" t="str">
        <x:f>IF(AH65="","",IF(AH65&gt;=85,"Excelente",IF(AH65&gt;=70,"Adequado",IF(AH65&gt;=50,"Atenção","Crítico"))))</x:f>
      </x:c>
    </x:row>
    <x:row r="66">
      <x:c r="A66" s="33"/>
      <x:c r="B66" s="33"/>
      <x:c r="C66" s="33"/>
      <x:c r="D66" s="33"/>
      <x:c r="E66" s="36"/>
      <x:c r="F66" s="36"/>
      <x:c r="G66" s="33"/>
      <x:c r="H66" s="33"/>
      <x:c r="I66" s="33"/>
      <x:c r="J66" s="33"/>
      <x:c r="K66" s="33"/>
      <x:c r="L66" s="33"/>
      <x:c r="M66" s="33"/>
      <x:c r="N66" s="37"/>
      <x:c r="O66" s="33"/>
      <x:c r="P66" s="33"/>
      <x:c r="Q66" s="33"/>
      <x:c r="R66" s="37"/>
      <x:c r="S66" s="33"/>
      <x:c r="T66" s="33"/>
      <x:c r="U66" s="33"/>
      <x:c r="V66" s="38"/>
      <x:c r="W66" s="34"/>
      <x:c r="X66" s="34"/>
      <x:c r="Y66" s="34"/>
      <x:c r="Z66" s="34"/>
      <x:c r="AA66" s="34"/>
      <x:c r="AB66" s="34"/>
      <x:c r="AC66" s="34"/>
      <x:c r="AD66" s="34"/>
      <x:c r="AE66" s="34"/>
      <x:c r="AF66" s="34"/>
      <x:c r="AG66" s="34"/>
      <x:c r="AH66" s="35" t="str">
        <x:f>IF(COUNTA(X66:AA66)&lt;4,"",ROUND((X66*20)*45%+(((Y66-1)/4*100)*30%+((Z66-1)/4*100)*25%+(1-(AA66-1)/4)*100*25%+(1-(MAX(1,AC66:AE66)-1)/4)*100*20%)*55%,0))</x:f>
      </x:c>
      <x:c r="AI66" s="35" t="str">
        <x:f>IF(AH66="","",IF(AH66&gt;=85,"Excelente",IF(AH66&gt;=70,"Adequado",IF(AH66&gt;=50,"Atenção","Crítico"))))</x:f>
      </x:c>
    </x:row>
    <x:row r="67">
      <x:c r="A67" s="33"/>
      <x:c r="B67" s="33"/>
      <x:c r="C67" s="33"/>
      <x:c r="D67" s="33"/>
      <x:c r="E67" s="36"/>
      <x:c r="F67" s="36"/>
      <x:c r="G67" s="33"/>
      <x:c r="H67" s="33"/>
      <x:c r="I67" s="33"/>
      <x:c r="J67" s="33"/>
      <x:c r="K67" s="33"/>
      <x:c r="L67" s="33"/>
      <x:c r="M67" s="33"/>
      <x:c r="N67" s="37"/>
      <x:c r="O67" s="33"/>
      <x:c r="P67" s="33"/>
      <x:c r="Q67" s="33"/>
      <x:c r="R67" s="37"/>
      <x:c r="S67" s="33"/>
      <x:c r="T67" s="33"/>
      <x:c r="U67" s="33"/>
      <x:c r="V67" s="38"/>
      <x:c r="W67" s="34"/>
      <x:c r="X67" s="34"/>
      <x:c r="Y67" s="34"/>
      <x:c r="Z67" s="34"/>
      <x:c r="AA67" s="34"/>
      <x:c r="AB67" s="34"/>
      <x:c r="AC67" s="34"/>
      <x:c r="AD67" s="34"/>
      <x:c r="AE67" s="34"/>
      <x:c r="AF67" s="34"/>
      <x:c r="AG67" s="34"/>
      <x:c r="AH67" s="35" t="str">
        <x:f>IF(COUNTA(X67:AA67)&lt;4,"",ROUND((X67*20)*45%+(((Y67-1)/4*100)*30%+((Z67-1)/4*100)*25%+(1-(AA67-1)/4)*100*25%+(1-(MAX(1,AC67:AE67)-1)/4)*100*20%)*55%,0))</x:f>
      </x:c>
      <x:c r="AI67" s="35" t="str">
        <x:f>IF(AH67="","",IF(AH67&gt;=85,"Excelente",IF(AH67&gt;=70,"Adequado",IF(AH67&gt;=50,"Atenção","Crítico"))))</x:f>
      </x:c>
    </x:row>
    <x:row r="68">
      <x:c r="A68" s="33"/>
      <x:c r="B68" s="33"/>
      <x:c r="C68" s="33"/>
      <x:c r="D68" s="33"/>
      <x:c r="E68" s="36"/>
      <x:c r="F68" s="36"/>
      <x:c r="G68" s="33"/>
      <x:c r="H68" s="33"/>
      <x:c r="I68" s="33"/>
      <x:c r="J68" s="33"/>
      <x:c r="K68" s="33"/>
      <x:c r="L68" s="33"/>
      <x:c r="M68" s="33"/>
      <x:c r="N68" s="37"/>
      <x:c r="O68" s="33"/>
      <x:c r="P68" s="33"/>
      <x:c r="Q68" s="33"/>
      <x:c r="R68" s="37"/>
      <x:c r="S68" s="33"/>
      <x:c r="T68" s="33"/>
      <x:c r="U68" s="33"/>
      <x:c r="V68" s="38"/>
      <x:c r="W68" s="34"/>
      <x:c r="X68" s="34"/>
      <x:c r="Y68" s="34"/>
      <x:c r="Z68" s="34"/>
      <x:c r="AA68" s="34"/>
      <x:c r="AB68" s="34"/>
      <x:c r="AC68" s="34"/>
      <x:c r="AD68" s="34"/>
      <x:c r="AE68" s="34"/>
      <x:c r="AF68" s="34"/>
      <x:c r="AG68" s="34"/>
      <x:c r="AH68" s="35" t="str">
        <x:f>IF(COUNTA(X68:AA68)&lt;4,"",ROUND((X68*20)*45%+(((Y68-1)/4*100)*30%+((Z68-1)/4*100)*25%+(1-(AA68-1)/4)*100*25%+(1-(MAX(1,AC68:AE68)-1)/4)*100*20%)*55%,0))</x:f>
      </x:c>
      <x:c r="AI68" s="35" t="str">
        <x:f>IF(AH68="","",IF(AH68&gt;=85,"Excelente",IF(AH68&gt;=70,"Adequado",IF(AH68&gt;=50,"Atenção","Crítico"))))</x:f>
      </x:c>
    </x:row>
    <x:row r="69">
      <x:c r="A69" s="33"/>
      <x:c r="B69" s="33"/>
      <x:c r="C69" s="33"/>
      <x:c r="D69" s="33"/>
      <x:c r="E69" s="36"/>
      <x:c r="F69" s="36"/>
      <x:c r="G69" s="33"/>
      <x:c r="H69" s="33"/>
      <x:c r="I69" s="33"/>
      <x:c r="J69" s="33"/>
      <x:c r="K69" s="33"/>
      <x:c r="L69" s="33"/>
      <x:c r="M69" s="33"/>
      <x:c r="N69" s="37"/>
      <x:c r="O69" s="33"/>
      <x:c r="P69" s="33"/>
      <x:c r="Q69" s="33"/>
      <x:c r="R69" s="37"/>
      <x:c r="S69" s="33"/>
      <x:c r="T69" s="33"/>
      <x:c r="U69" s="33"/>
      <x:c r="V69" s="38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5" t="str">
        <x:f>IF(COUNTA(X69:AA69)&lt;4,"",ROUND((X69*20)*45%+(((Y69-1)/4*100)*30%+((Z69-1)/4*100)*25%+(1-(AA69-1)/4)*100*25%+(1-(MAX(1,AC69:AE69)-1)/4)*100*20%)*55%,0))</x:f>
      </x:c>
      <x:c r="AI69" s="35" t="str">
        <x:f>IF(AH69="","",IF(AH69&gt;=85,"Excelente",IF(AH69&gt;=70,"Adequado",IF(AH69&gt;=50,"Atenção","Crítico"))))</x:f>
      </x:c>
    </x:row>
    <x:row r="70">
      <x:c r="A70" s="33"/>
      <x:c r="B70" s="33"/>
      <x:c r="C70" s="33"/>
      <x:c r="D70" s="33"/>
      <x:c r="E70" s="36"/>
      <x:c r="F70" s="36"/>
      <x:c r="G70" s="33"/>
      <x:c r="H70" s="33"/>
      <x:c r="I70" s="33"/>
      <x:c r="J70" s="33"/>
      <x:c r="K70" s="33"/>
      <x:c r="L70" s="33"/>
      <x:c r="M70" s="33"/>
      <x:c r="N70" s="37"/>
      <x:c r="O70" s="33"/>
      <x:c r="P70" s="33"/>
      <x:c r="Q70" s="33"/>
      <x:c r="R70" s="37"/>
      <x:c r="S70" s="33"/>
      <x:c r="T70" s="33"/>
      <x:c r="U70" s="33"/>
      <x:c r="V70" s="38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5" t="str">
        <x:f>IF(COUNTA(X70:AA70)&lt;4,"",ROUND((X70*20)*45%+(((Y70-1)/4*100)*30%+((Z70-1)/4*100)*25%+(1-(AA70-1)/4)*100*25%+(1-(MAX(1,AC70:AE70)-1)/4)*100*20%)*55%,0))</x:f>
      </x:c>
      <x:c r="AI70" s="35" t="str">
        <x:f>IF(AH70="","",IF(AH70&gt;=85,"Excelente",IF(AH70&gt;=70,"Adequado",IF(AH70&gt;=50,"Atenção","Crítico"))))</x:f>
      </x:c>
    </x:row>
    <x:row r="71">
      <x:c r="A71" s="33"/>
      <x:c r="B71" s="33"/>
      <x:c r="C71" s="33"/>
      <x:c r="D71" s="33"/>
      <x:c r="E71" s="36"/>
      <x:c r="F71" s="36"/>
      <x:c r="G71" s="33"/>
      <x:c r="H71" s="33"/>
      <x:c r="I71" s="33"/>
      <x:c r="J71" s="33"/>
      <x:c r="K71" s="33"/>
      <x:c r="L71" s="33"/>
      <x:c r="M71" s="33"/>
      <x:c r="N71" s="37"/>
      <x:c r="O71" s="33"/>
      <x:c r="P71" s="33"/>
      <x:c r="Q71" s="33"/>
      <x:c r="R71" s="37"/>
      <x:c r="S71" s="33"/>
      <x:c r="T71" s="33"/>
      <x:c r="U71" s="33"/>
      <x:c r="V71" s="38"/>
      <x:c r="W71" s="34"/>
      <x:c r="X71" s="34"/>
      <x:c r="Y71" s="34"/>
      <x:c r="Z71" s="34"/>
      <x:c r="AA71" s="34"/>
      <x:c r="AB71" s="34"/>
      <x:c r="AC71" s="34"/>
      <x:c r="AD71" s="34"/>
      <x:c r="AE71" s="34"/>
      <x:c r="AF71" s="34"/>
      <x:c r="AG71" s="34"/>
      <x:c r="AH71" s="35" t="str">
        <x:f>IF(COUNTA(X71:AA71)&lt;4,"",ROUND((X71*20)*45%+(((Y71-1)/4*100)*30%+((Z71-1)/4*100)*25%+(1-(AA71-1)/4)*100*25%+(1-(MAX(1,AC71:AE71)-1)/4)*100*20%)*55%,0))</x:f>
      </x:c>
      <x:c r="AI71" s="35" t="str">
        <x:f>IF(AH71="","",IF(AH71&gt;=85,"Excelente",IF(AH71&gt;=70,"Adequado",IF(AH71&gt;=50,"Atenção","Crítico"))))</x:f>
      </x:c>
    </x:row>
    <x:row r="72">
      <x:c r="A72" s="33"/>
      <x:c r="B72" s="33"/>
      <x:c r="C72" s="33"/>
      <x:c r="D72" s="33"/>
      <x:c r="E72" s="36"/>
      <x:c r="F72" s="36"/>
      <x:c r="G72" s="33"/>
      <x:c r="H72" s="33"/>
      <x:c r="I72" s="33"/>
      <x:c r="J72" s="33"/>
      <x:c r="K72" s="33"/>
      <x:c r="L72" s="33"/>
      <x:c r="M72" s="33"/>
      <x:c r="N72" s="37"/>
      <x:c r="O72" s="33"/>
      <x:c r="P72" s="33"/>
      <x:c r="Q72" s="33"/>
      <x:c r="R72" s="37"/>
      <x:c r="S72" s="33"/>
      <x:c r="T72" s="33"/>
      <x:c r="U72" s="33"/>
      <x:c r="V72" s="38"/>
      <x:c r="W72" s="34"/>
      <x:c r="X72" s="34"/>
      <x:c r="Y72" s="34"/>
      <x:c r="Z72" s="34"/>
      <x:c r="AA72" s="34"/>
      <x:c r="AB72" s="34"/>
      <x:c r="AC72" s="34"/>
      <x:c r="AD72" s="34"/>
      <x:c r="AE72" s="34"/>
      <x:c r="AF72" s="34"/>
      <x:c r="AG72" s="34"/>
      <x:c r="AH72" s="35" t="str">
        <x:f>IF(COUNTA(X72:AA72)&lt;4,"",ROUND((X72*20)*45%+(((Y72-1)/4*100)*30%+((Z72-1)/4*100)*25%+(1-(AA72-1)/4)*100*25%+(1-(MAX(1,AC72:AE72)-1)/4)*100*20%)*55%,0))</x:f>
      </x:c>
      <x:c r="AI72" s="35" t="str">
        <x:f>IF(AH72="","",IF(AH72&gt;=85,"Excelente",IF(AH72&gt;=70,"Adequado",IF(AH72&gt;=50,"Atenção","Crítico"))))</x:f>
      </x:c>
    </x:row>
    <x:row r="73">
      <x:c r="A73" s="33"/>
      <x:c r="B73" s="33"/>
      <x:c r="C73" s="33"/>
      <x:c r="D73" s="33"/>
      <x:c r="E73" s="36"/>
      <x:c r="F73" s="36"/>
      <x:c r="G73" s="33"/>
      <x:c r="H73" s="33"/>
      <x:c r="I73" s="33"/>
      <x:c r="J73" s="33"/>
      <x:c r="K73" s="33"/>
      <x:c r="L73" s="33"/>
      <x:c r="M73" s="33"/>
      <x:c r="N73" s="37"/>
      <x:c r="O73" s="33"/>
      <x:c r="P73" s="33"/>
      <x:c r="Q73" s="33"/>
      <x:c r="R73" s="37"/>
      <x:c r="S73" s="33"/>
      <x:c r="T73" s="33"/>
      <x:c r="U73" s="33"/>
      <x:c r="V73" s="38"/>
      <x:c r="W73" s="34"/>
      <x:c r="X73" s="34"/>
      <x:c r="Y73" s="34"/>
      <x:c r="Z73" s="34"/>
      <x:c r="AA73" s="34"/>
      <x:c r="AB73" s="34"/>
      <x:c r="AC73" s="34"/>
      <x:c r="AD73" s="34"/>
      <x:c r="AE73" s="34"/>
      <x:c r="AF73" s="34"/>
      <x:c r="AG73" s="34"/>
      <x:c r="AH73" s="35" t="str">
        <x:f>IF(COUNTA(X73:AA73)&lt;4,"",ROUND((X73*20)*45%+(((Y73-1)/4*100)*30%+((Z73-1)/4*100)*25%+(1-(AA73-1)/4)*100*25%+(1-(MAX(1,AC73:AE73)-1)/4)*100*20%)*55%,0))</x:f>
      </x:c>
      <x:c r="AI73" s="35" t="str">
        <x:f>IF(AH73="","",IF(AH73&gt;=85,"Excelente",IF(AH73&gt;=70,"Adequado",IF(AH73&gt;=50,"Atenção","Crítico"))))</x:f>
      </x:c>
    </x:row>
    <x:row r="74">
      <x:c r="A74" s="33"/>
      <x:c r="B74" s="33"/>
      <x:c r="C74" s="33"/>
      <x:c r="D74" s="33"/>
      <x:c r="E74" s="36"/>
      <x:c r="F74" s="36"/>
      <x:c r="G74" s="33"/>
      <x:c r="H74" s="33"/>
      <x:c r="I74" s="33"/>
      <x:c r="J74" s="33"/>
      <x:c r="K74" s="33"/>
      <x:c r="L74" s="33"/>
      <x:c r="M74" s="33"/>
      <x:c r="N74" s="37"/>
      <x:c r="O74" s="33"/>
      <x:c r="P74" s="33"/>
      <x:c r="Q74" s="33"/>
      <x:c r="R74" s="37"/>
      <x:c r="S74" s="33"/>
      <x:c r="T74" s="33"/>
      <x:c r="U74" s="33"/>
      <x:c r="V74" s="38"/>
      <x:c r="W74" s="34"/>
      <x:c r="X74" s="34"/>
      <x:c r="Y74" s="34"/>
      <x:c r="Z74" s="34"/>
      <x:c r="AA74" s="34"/>
      <x:c r="AB74" s="34"/>
      <x:c r="AC74" s="34"/>
      <x:c r="AD74" s="34"/>
      <x:c r="AE74" s="34"/>
      <x:c r="AF74" s="34"/>
      <x:c r="AG74" s="34"/>
      <x:c r="AH74" s="35" t="str">
        <x:f>IF(COUNTA(X74:AA74)&lt;4,"",ROUND((X74*20)*45%+(((Y74-1)/4*100)*30%+((Z74-1)/4*100)*25%+(1-(AA74-1)/4)*100*25%+(1-(MAX(1,AC74:AE74)-1)/4)*100*20%)*55%,0))</x:f>
      </x:c>
      <x:c r="AI74" s="35" t="str">
        <x:f>IF(AH74="","",IF(AH74&gt;=85,"Excelente",IF(AH74&gt;=70,"Adequado",IF(AH74&gt;=50,"Atenção","Crítico"))))</x:f>
      </x:c>
    </x:row>
    <x:row r="75">
      <x:c r="A75" s="33"/>
      <x:c r="B75" s="33"/>
      <x:c r="C75" s="33"/>
      <x:c r="D75" s="33"/>
      <x:c r="E75" s="36"/>
      <x:c r="F75" s="36"/>
      <x:c r="G75" s="33"/>
      <x:c r="H75" s="33"/>
      <x:c r="I75" s="33"/>
      <x:c r="J75" s="33"/>
      <x:c r="K75" s="33"/>
      <x:c r="L75" s="33"/>
      <x:c r="M75" s="33"/>
      <x:c r="N75" s="37"/>
      <x:c r="O75" s="33"/>
      <x:c r="P75" s="33"/>
      <x:c r="Q75" s="33"/>
      <x:c r="R75" s="37"/>
      <x:c r="S75" s="33"/>
      <x:c r="T75" s="33"/>
      <x:c r="U75" s="33"/>
      <x:c r="V75" s="38"/>
      <x:c r="W75" s="34"/>
      <x:c r="X75" s="34"/>
      <x:c r="Y75" s="34"/>
      <x:c r="Z75" s="34"/>
      <x:c r="AA75" s="34"/>
      <x:c r="AB75" s="34"/>
      <x:c r="AC75" s="34"/>
      <x:c r="AD75" s="34"/>
      <x:c r="AE75" s="34"/>
      <x:c r="AF75" s="34"/>
      <x:c r="AG75" s="34"/>
      <x:c r="AH75" s="35" t="str">
        <x:f>IF(COUNTA(X75:AA75)&lt;4,"",ROUND((X75*20)*45%+(((Y75-1)/4*100)*30%+((Z75-1)/4*100)*25%+(1-(AA75-1)/4)*100*25%+(1-(MAX(1,AC75:AE75)-1)/4)*100*20%)*55%,0))</x:f>
      </x:c>
      <x:c r="AI75" s="35" t="str">
        <x:f>IF(AH75="","",IF(AH75&gt;=85,"Excelente",IF(AH75&gt;=70,"Adequado",IF(AH75&gt;=50,"Atenção","Crítico"))))</x:f>
      </x:c>
    </x:row>
    <x:row r="76">
      <x:c r="A76" s="33"/>
      <x:c r="B76" s="33"/>
      <x:c r="C76" s="33"/>
      <x:c r="D76" s="33"/>
      <x:c r="E76" s="36"/>
      <x:c r="F76" s="36"/>
      <x:c r="G76" s="33"/>
      <x:c r="H76" s="33"/>
      <x:c r="I76" s="33"/>
      <x:c r="J76" s="33"/>
      <x:c r="K76" s="33"/>
      <x:c r="L76" s="33"/>
      <x:c r="M76" s="33"/>
      <x:c r="N76" s="37"/>
      <x:c r="O76" s="33"/>
      <x:c r="P76" s="33"/>
      <x:c r="Q76" s="33"/>
      <x:c r="R76" s="37"/>
      <x:c r="S76" s="33"/>
      <x:c r="T76" s="33"/>
      <x:c r="U76" s="33"/>
      <x:c r="V76" s="38"/>
      <x:c r="W76" s="34"/>
      <x:c r="X76" s="34"/>
      <x:c r="Y76" s="34"/>
      <x:c r="Z76" s="34"/>
      <x:c r="AA76" s="34"/>
      <x:c r="AB76" s="34"/>
      <x:c r="AC76" s="34"/>
      <x:c r="AD76" s="34"/>
      <x:c r="AE76" s="34"/>
      <x:c r="AF76" s="34"/>
      <x:c r="AG76" s="34"/>
      <x:c r="AH76" s="35" t="str">
        <x:f>IF(COUNTA(X76:AA76)&lt;4,"",ROUND((X76*20)*45%+(((Y76-1)/4*100)*30%+((Z76-1)/4*100)*25%+(1-(AA76-1)/4)*100*25%+(1-(MAX(1,AC76:AE76)-1)/4)*100*20%)*55%,0))</x:f>
      </x:c>
      <x:c r="AI76" s="35" t="str">
        <x:f>IF(AH76="","",IF(AH76&gt;=85,"Excelente",IF(AH76&gt;=70,"Adequado",IF(AH76&gt;=50,"Atenção","Crítico"))))</x:f>
      </x:c>
    </x:row>
    <x:row r="77">
      <x:c r="A77" s="33"/>
      <x:c r="B77" s="33"/>
      <x:c r="C77" s="33"/>
      <x:c r="D77" s="33"/>
      <x:c r="E77" s="36"/>
      <x:c r="F77" s="36"/>
      <x:c r="G77" s="33"/>
      <x:c r="H77" s="33"/>
      <x:c r="I77" s="33"/>
      <x:c r="J77" s="33"/>
      <x:c r="K77" s="33"/>
      <x:c r="L77" s="33"/>
      <x:c r="M77" s="33"/>
      <x:c r="N77" s="37"/>
      <x:c r="O77" s="33"/>
      <x:c r="P77" s="33"/>
      <x:c r="Q77" s="33"/>
      <x:c r="R77" s="37"/>
      <x:c r="S77" s="33"/>
      <x:c r="T77" s="33"/>
      <x:c r="U77" s="33"/>
      <x:c r="V77" s="38"/>
      <x:c r="W77" s="34"/>
      <x:c r="X77" s="34"/>
      <x:c r="Y77" s="34"/>
      <x:c r="Z77" s="34"/>
      <x:c r="AA77" s="34"/>
      <x:c r="AB77" s="34"/>
      <x:c r="AC77" s="34"/>
      <x:c r="AD77" s="34"/>
      <x:c r="AE77" s="34"/>
      <x:c r="AF77" s="34"/>
      <x:c r="AG77" s="34"/>
      <x:c r="AH77" s="35" t="str">
        <x:f>IF(COUNTA(X77:AA77)&lt;4,"",ROUND((X77*20)*45%+(((Y77-1)/4*100)*30%+((Z77-1)/4*100)*25%+(1-(AA77-1)/4)*100*25%+(1-(MAX(1,AC77:AE77)-1)/4)*100*20%)*55%,0))</x:f>
      </x:c>
      <x:c r="AI77" s="35" t="str">
        <x:f>IF(AH77="","",IF(AH77&gt;=85,"Excelente",IF(AH77&gt;=70,"Adequado",IF(AH77&gt;=50,"Atenção","Crítico"))))</x:f>
      </x:c>
    </x:row>
    <x:row r="78">
      <x:c r="A78" s="33"/>
      <x:c r="B78" s="33"/>
      <x:c r="C78" s="33"/>
      <x:c r="D78" s="33"/>
      <x:c r="E78" s="36"/>
      <x:c r="F78" s="36"/>
      <x:c r="G78" s="33"/>
      <x:c r="H78" s="33"/>
      <x:c r="I78" s="33"/>
      <x:c r="J78" s="33"/>
      <x:c r="K78" s="33"/>
      <x:c r="L78" s="33"/>
      <x:c r="M78" s="33"/>
      <x:c r="N78" s="37"/>
      <x:c r="O78" s="33"/>
      <x:c r="P78" s="33"/>
      <x:c r="Q78" s="33"/>
      <x:c r="R78" s="37"/>
      <x:c r="S78" s="33"/>
      <x:c r="T78" s="33"/>
      <x:c r="U78" s="33"/>
      <x:c r="V78" s="38"/>
      <x:c r="W78" s="34"/>
      <x:c r="X78" s="34"/>
      <x:c r="Y78" s="34"/>
      <x:c r="Z78" s="34"/>
      <x:c r="AA78" s="34"/>
      <x:c r="AB78" s="34"/>
      <x:c r="AC78" s="34"/>
      <x:c r="AD78" s="34"/>
      <x:c r="AE78" s="34"/>
      <x:c r="AF78" s="34"/>
      <x:c r="AG78" s="34"/>
      <x:c r="AH78" s="35" t="str">
        <x:f>IF(COUNTA(X78:AA78)&lt;4,"",ROUND((X78*20)*45%+(((Y78-1)/4*100)*30%+((Z78-1)/4*100)*25%+(1-(AA78-1)/4)*100*25%+(1-(MAX(1,AC78:AE78)-1)/4)*100*20%)*55%,0))</x:f>
      </x:c>
      <x:c r="AI78" s="35" t="str">
        <x:f>IF(AH78="","",IF(AH78&gt;=85,"Excelente",IF(AH78&gt;=70,"Adequado",IF(AH78&gt;=50,"Atenção","Crítico"))))</x:f>
      </x:c>
    </x:row>
    <x:row r="79">
      <x:c r="A79" s="33"/>
      <x:c r="B79" s="33"/>
      <x:c r="C79" s="33"/>
      <x:c r="D79" s="33"/>
      <x:c r="E79" s="36"/>
      <x:c r="F79" s="36"/>
      <x:c r="G79" s="33"/>
      <x:c r="H79" s="33"/>
      <x:c r="I79" s="33"/>
      <x:c r="J79" s="33"/>
      <x:c r="K79" s="33"/>
      <x:c r="L79" s="33"/>
      <x:c r="M79" s="33"/>
      <x:c r="N79" s="37"/>
      <x:c r="O79" s="33"/>
      <x:c r="P79" s="33"/>
      <x:c r="Q79" s="33"/>
      <x:c r="R79" s="37"/>
      <x:c r="S79" s="33"/>
      <x:c r="T79" s="33"/>
      <x:c r="U79" s="33"/>
      <x:c r="V79" s="38"/>
      <x:c r="W79" s="34"/>
      <x:c r="X79" s="34"/>
      <x:c r="Y79" s="34"/>
      <x:c r="Z79" s="34"/>
      <x:c r="AA79" s="34"/>
      <x:c r="AB79" s="34"/>
      <x:c r="AC79" s="34"/>
      <x:c r="AD79" s="34"/>
      <x:c r="AE79" s="34"/>
      <x:c r="AF79" s="34"/>
      <x:c r="AG79" s="34"/>
      <x:c r="AH79" s="35" t="str">
        <x:f>IF(COUNTA(X79:AA79)&lt;4,"",ROUND((X79*20)*45%+(((Y79-1)/4*100)*30%+((Z79-1)/4*100)*25%+(1-(AA79-1)/4)*100*25%+(1-(MAX(1,AC79:AE79)-1)/4)*100*20%)*55%,0))</x:f>
      </x:c>
      <x:c r="AI79" s="35" t="str">
        <x:f>IF(AH79="","",IF(AH79&gt;=85,"Excelente",IF(AH79&gt;=70,"Adequado",IF(AH79&gt;=50,"Atenção","Crítico"))))</x:f>
      </x:c>
    </x:row>
    <x:row r="80">
      <x:c r="A80" s="33"/>
      <x:c r="B80" s="33"/>
      <x:c r="C80" s="33"/>
      <x:c r="D80" s="33"/>
      <x:c r="E80" s="36"/>
      <x:c r="F80" s="36"/>
      <x:c r="G80" s="33"/>
      <x:c r="H80" s="33"/>
      <x:c r="I80" s="33"/>
      <x:c r="J80" s="33"/>
      <x:c r="K80" s="33"/>
      <x:c r="L80" s="33"/>
      <x:c r="M80" s="33"/>
      <x:c r="N80" s="37"/>
      <x:c r="O80" s="33"/>
      <x:c r="P80" s="33"/>
      <x:c r="Q80" s="33"/>
      <x:c r="R80" s="37"/>
      <x:c r="S80" s="33"/>
      <x:c r="T80" s="33"/>
      <x:c r="U80" s="33"/>
      <x:c r="V80" s="38"/>
      <x:c r="W80" s="34"/>
      <x:c r="X80" s="34"/>
      <x:c r="Y80" s="34"/>
      <x:c r="Z80" s="34"/>
      <x:c r="AA80" s="34"/>
      <x:c r="AB80" s="34"/>
      <x:c r="AC80" s="34"/>
      <x:c r="AD80" s="34"/>
      <x:c r="AE80" s="34"/>
      <x:c r="AF80" s="34"/>
      <x:c r="AG80" s="34"/>
      <x:c r="AH80" s="35" t="str">
        <x:f>IF(COUNTA(X80:AA80)&lt;4,"",ROUND((X80*20)*45%+(((Y80-1)/4*100)*30%+((Z80-1)/4*100)*25%+(1-(AA80-1)/4)*100*25%+(1-(MAX(1,AC80:AE80)-1)/4)*100*20%)*55%,0))</x:f>
      </x:c>
      <x:c r="AI80" s="35" t="str">
        <x:f>IF(AH80="","",IF(AH80&gt;=85,"Excelente",IF(AH80&gt;=70,"Adequado",IF(AH80&gt;=50,"Atenção","Crítico"))))</x:f>
      </x:c>
    </x:row>
    <x:row r="81">
      <x:c r="A81" s="33"/>
      <x:c r="B81" s="33"/>
      <x:c r="C81" s="33"/>
      <x:c r="D81" s="33"/>
      <x:c r="E81" s="36"/>
      <x:c r="F81" s="36"/>
      <x:c r="G81" s="33"/>
      <x:c r="H81" s="33"/>
      <x:c r="I81" s="33"/>
      <x:c r="J81" s="33"/>
      <x:c r="K81" s="33"/>
      <x:c r="L81" s="33"/>
      <x:c r="M81" s="33"/>
      <x:c r="N81" s="37"/>
      <x:c r="O81" s="33"/>
      <x:c r="P81" s="33"/>
      <x:c r="Q81" s="33"/>
      <x:c r="R81" s="37"/>
      <x:c r="S81" s="33"/>
      <x:c r="T81" s="33"/>
      <x:c r="U81" s="33"/>
      <x:c r="V81" s="38"/>
      <x:c r="W81" s="34"/>
      <x:c r="X81" s="34"/>
      <x:c r="Y81" s="34"/>
      <x:c r="Z81" s="34"/>
      <x:c r="AA81" s="34"/>
      <x:c r="AB81" s="34"/>
      <x:c r="AC81" s="34"/>
      <x:c r="AD81" s="34"/>
      <x:c r="AE81" s="34"/>
      <x:c r="AF81" s="34"/>
      <x:c r="AG81" s="34"/>
      <x:c r="AH81" s="35" t="str">
        <x:f>IF(COUNTA(X81:AA81)&lt;4,"",ROUND((X81*20)*45%+(((Y81-1)/4*100)*30%+((Z81-1)/4*100)*25%+(1-(AA81-1)/4)*100*25%+(1-(MAX(1,AC81:AE81)-1)/4)*100*20%)*55%,0))</x:f>
      </x:c>
      <x:c r="AI81" s="35" t="str">
        <x:f>IF(AH81="","",IF(AH81&gt;=85,"Excelente",IF(AH81&gt;=70,"Adequado",IF(AH81&gt;=50,"Atenção","Crítico"))))</x:f>
      </x:c>
    </x:row>
    <x:row r="82">
      <x:c r="A82" s="33"/>
      <x:c r="B82" s="33"/>
      <x:c r="C82" s="33"/>
      <x:c r="D82" s="33"/>
      <x:c r="E82" s="36"/>
      <x:c r="F82" s="36"/>
      <x:c r="G82" s="33"/>
      <x:c r="H82" s="33"/>
      <x:c r="I82" s="33"/>
      <x:c r="J82" s="33"/>
      <x:c r="K82" s="33"/>
      <x:c r="L82" s="33"/>
      <x:c r="M82" s="33"/>
      <x:c r="N82" s="37"/>
      <x:c r="O82" s="33"/>
      <x:c r="P82" s="33"/>
      <x:c r="Q82" s="33"/>
      <x:c r="R82" s="37"/>
      <x:c r="S82" s="33"/>
      <x:c r="T82" s="33"/>
      <x:c r="U82" s="33"/>
      <x:c r="V82" s="38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5" t="str">
        <x:f>IF(COUNTA(X82:AA82)&lt;4,"",ROUND((X82*20)*45%+(((Y82-1)/4*100)*30%+((Z82-1)/4*100)*25%+(1-(AA82-1)/4)*100*25%+(1-(MAX(1,AC82:AE82)-1)/4)*100*20%)*55%,0))</x:f>
      </x:c>
      <x:c r="AI82" s="35" t="str">
        <x:f>IF(AH82="","",IF(AH82&gt;=85,"Excelente",IF(AH82&gt;=70,"Adequado",IF(AH82&gt;=50,"Atenção","Crítico"))))</x:f>
      </x:c>
    </x:row>
    <x:row r="83">
      <x:c r="A83" s="33"/>
      <x:c r="B83" s="33"/>
      <x:c r="C83" s="33"/>
      <x:c r="D83" s="33"/>
      <x:c r="E83" s="36"/>
      <x:c r="F83" s="36"/>
      <x:c r="G83" s="33"/>
      <x:c r="H83" s="33"/>
      <x:c r="I83" s="33"/>
      <x:c r="J83" s="33"/>
      <x:c r="K83" s="33"/>
      <x:c r="L83" s="33"/>
      <x:c r="M83" s="33"/>
      <x:c r="N83" s="37"/>
      <x:c r="O83" s="33"/>
      <x:c r="P83" s="33"/>
      <x:c r="Q83" s="33"/>
      <x:c r="R83" s="37"/>
      <x:c r="S83" s="33"/>
      <x:c r="T83" s="33"/>
      <x:c r="U83" s="33"/>
      <x:c r="V83" s="38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5" t="str">
        <x:f>IF(COUNTA(X83:AA83)&lt;4,"",ROUND((X83*20)*45%+(((Y83-1)/4*100)*30%+((Z83-1)/4*100)*25%+(1-(AA83-1)/4)*100*25%+(1-(MAX(1,AC83:AE83)-1)/4)*100*20%)*55%,0))</x:f>
      </x:c>
      <x:c r="AI83" s="35" t="str">
        <x:f>IF(AH83="","",IF(AH83&gt;=85,"Excelente",IF(AH83&gt;=70,"Adequado",IF(AH83&gt;=50,"Atenção","Crítico"))))</x:f>
      </x:c>
    </x:row>
    <x:row r="84">
      <x:c r="A84" s="33"/>
      <x:c r="B84" s="33"/>
      <x:c r="C84" s="33"/>
      <x:c r="D84" s="33"/>
      <x:c r="E84" s="36"/>
      <x:c r="F84" s="36"/>
      <x:c r="G84" s="33"/>
      <x:c r="H84" s="33"/>
      <x:c r="I84" s="33"/>
      <x:c r="J84" s="33"/>
      <x:c r="K84" s="33"/>
      <x:c r="L84" s="33"/>
      <x:c r="M84" s="33"/>
      <x:c r="N84" s="37"/>
      <x:c r="O84" s="33"/>
      <x:c r="P84" s="33"/>
      <x:c r="Q84" s="33"/>
      <x:c r="R84" s="37"/>
      <x:c r="S84" s="33"/>
      <x:c r="T84" s="33"/>
      <x:c r="U84" s="33"/>
      <x:c r="V84" s="38"/>
      <x:c r="W84" s="34"/>
      <x:c r="X84" s="34"/>
      <x:c r="Y84" s="34"/>
      <x:c r="Z84" s="34"/>
      <x:c r="AA84" s="34"/>
      <x:c r="AB84" s="34"/>
      <x:c r="AC84" s="34"/>
      <x:c r="AD84" s="34"/>
      <x:c r="AE84" s="34"/>
      <x:c r="AF84" s="34"/>
      <x:c r="AG84" s="34"/>
      <x:c r="AH84" s="35" t="str">
        <x:f>IF(COUNTA(X84:AA84)&lt;4,"",ROUND((X84*20)*45%+(((Y84-1)/4*100)*30%+((Z84-1)/4*100)*25%+(1-(AA84-1)/4)*100*25%+(1-(MAX(1,AC84:AE84)-1)/4)*100*20%)*55%,0))</x:f>
      </x:c>
      <x:c r="AI84" s="35" t="str">
        <x:f>IF(AH84="","",IF(AH84&gt;=85,"Excelente",IF(AH84&gt;=70,"Adequado",IF(AH84&gt;=50,"Atenção","Crítico"))))</x:f>
      </x:c>
    </x:row>
    <x:row r="85">
      <x:c r="A85" s="33"/>
      <x:c r="B85" s="33"/>
      <x:c r="C85" s="33"/>
      <x:c r="D85" s="33"/>
      <x:c r="E85" s="36"/>
      <x:c r="F85" s="36"/>
      <x:c r="G85" s="33"/>
      <x:c r="H85" s="33"/>
      <x:c r="I85" s="33"/>
      <x:c r="J85" s="33"/>
      <x:c r="K85" s="33"/>
      <x:c r="L85" s="33"/>
      <x:c r="M85" s="33"/>
      <x:c r="N85" s="37"/>
      <x:c r="O85" s="33"/>
      <x:c r="P85" s="33"/>
      <x:c r="Q85" s="33"/>
      <x:c r="R85" s="37"/>
      <x:c r="S85" s="33"/>
      <x:c r="T85" s="33"/>
      <x:c r="U85" s="33"/>
      <x:c r="V85" s="38"/>
      <x:c r="W85" s="34"/>
      <x:c r="X85" s="34"/>
      <x:c r="Y85" s="34"/>
      <x:c r="Z85" s="34"/>
      <x:c r="AA85" s="34"/>
      <x:c r="AB85" s="34"/>
      <x:c r="AC85" s="34"/>
      <x:c r="AD85" s="34"/>
      <x:c r="AE85" s="34"/>
      <x:c r="AF85" s="34"/>
      <x:c r="AG85" s="34"/>
      <x:c r="AH85" s="35" t="str">
        <x:f>IF(COUNTA(X85:AA85)&lt;4,"",ROUND((X85*20)*45%+(((Y85-1)/4*100)*30%+((Z85-1)/4*100)*25%+(1-(AA85-1)/4)*100*25%+(1-(MAX(1,AC85:AE85)-1)/4)*100*20%)*55%,0))</x:f>
      </x:c>
      <x:c r="AI85" s="35" t="str">
        <x:f>IF(AH85="","",IF(AH85&gt;=85,"Excelente",IF(AH85&gt;=70,"Adequado",IF(AH85&gt;=50,"Atenção","Crítico"))))</x:f>
      </x:c>
    </x:row>
    <x:row r="86">
      <x:c r="A86" s="33"/>
      <x:c r="B86" s="33"/>
      <x:c r="C86" s="33"/>
      <x:c r="D86" s="33"/>
      <x:c r="E86" s="36"/>
      <x:c r="F86" s="36"/>
      <x:c r="G86" s="33"/>
      <x:c r="H86" s="33"/>
      <x:c r="I86" s="33"/>
      <x:c r="J86" s="33"/>
      <x:c r="K86" s="33"/>
      <x:c r="L86" s="33"/>
      <x:c r="M86" s="33"/>
      <x:c r="N86" s="37"/>
      <x:c r="O86" s="33"/>
      <x:c r="P86" s="33"/>
      <x:c r="Q86" s="33"/>
      <x:c r="R86" s="37"/>
      <x:c r="S86" s="33"/>
      <x:c r="T86" s="33"/>
      <x:c r="U86" s="33"/>
      <x:c r="V86" s="38"/>
      <x:c r="W86" s="34"/>
      <x:c r="X86" s="34"/>
      <x:c r="Y86" s="34"/>
      <x:c r="Z86" s="34"/>
      <x:c r="AA86" s="34"/>
      <x:c r="AB86" s="34"/>
      <x:c r="AC86" s="34"/>
      <x:c r="AD86" s="34"/>
      <x:c r="AE86" s="34"/>
      <x:c r="AF86" s="34"/>
      <x:c r="AG86" s="34"/>
      <x:c r="AH86" s="35" t="str">
        <x:f>IF(COUNTA(X86:AA86)&lt;4,"",ROUND((X86*20)*45%+(((Y86-1)/4*100)*30%+((Z86-1)/4*100)*25%+(1-(AA86-1)/4)*100*25%+(1-(MAX(1,AC86:AE86)-1)/4)*100*20%)*55%,0))</x:f>
      </x:c>
      <x:c r="AI86" s="35" t="str">
        <x:f>IF(AH86="","",IF(AH86&gt;=85,"Excelente",IF(AH86&gt;=70,"Adequado",IF(AH86&gt;=50,"Atenção","Crítico"))))</x:f>
      </x:c>
    </x:row>
    <x:row r="87">
      <x:c r="A87" s="33"/>
      <x:c r="B87" s="33"/>
      <x:c r="C87" s="33"/>
      <x:c r="D87" s="33"/>
      <x:c r="E87" s="36"/>
      <x:c r="F87" s="36"/>
      <x:c r="G87" s="33"/>
      <x:c r="H87" s="33"/>
      <x:c r="I87" s="33"/>
      <x:c r="J87" s="33"/>
      <x:c r="K87" s="33"/>
      <x:c r="L87" s="33"/>
      <x:c r="M87" s="33"/>
      <x:c r="N87" s="37"/>
      <x:c r="O87" s="33"/>
      <x:c r="P87" s="33"/>
      <x:c r="Q87" s="33"/>
      <x:c r="R87" s="37"/>
      <x:c r="S87" s="33"/>
      <x:c r="T87" s="33"/>
      <x:c r="U87" s="33"/>
      <x:c r="V87" s="38"/>
      <x:c r="W87" s="34"/>
      <x:c r="X87" s="34"/>
      <x:c r="Y87" s="34"/>
      <x:c r="Z87" s="34"/>
      <x:c r="AA87" s="34"/>
      <x:c r="AB87" s="34"/>
      <x:c r="AC87" s="34"/>
      <x:c r="AD87" s="34"/>
      <x:c r="AE87" s="34"/>
      <x:c r="AF87" s="34"/>
      <x:c r="AG87" s="34"/>
      <x:c r="AH87" s="35" t="str">
        <x:f>IF(COUNTA(X87:AA87)&lt;4,"",ROUND((X87*20)*45%+(((Y87-1)/4*100)*30%+((Z87-1)/4*100)*25%+(1-(AA87-1)/4)*100*25%+(1-(MAX(1,AC87:AE87)-1)/4)*100*20%)*55%,0))</x:f>
      </x:c>
      <x:c r="AI87" s="35" t="str">
        <x:f>IF(AH87="","",IF(AH87&gt;=85,"Excelente",IF(AH87&gt;=70,"Adequado",IF(AH87&gt;=50,"Atenção","Crítico"))))</x:f>
      </x:c>
    </x:row>
    <x:row r="88">
      <x:c r="A88" s="33"/>
      <x:c r="B88" s="33"/>
      <x:c r="C88" s="33"/>
      <x:c r="D88" s="33"/>
      <x:c r="E88" s="36"/>
      <x:c r="F88" s="36"/>
      <x:c r="G88" s="33"/>
      <x:c r="H88" s="33"/>
      <x:c r="I88" s="33"/>
      <x:c r="J88" s="33"/>
      <x:c r="K88" s="33"/>
      <x:c r="L88" s="33"/>
      <x:c r="M88" s="33"/>
      <x:c r="N88" s="37"/>
      <x:c r="O88" s="33"/>
      <x:c r="P88" s="33"/>
      <x:c r="Q88" s="33"/>
      <x:c r="R88" s="37"/>
      <x:c r="S88" s="33"/>
      <x:c r="T88" s="33"/>
      <x:c r="U88" s="33"/>
      <x:c r="V88" s="38"/>
      <x:c r="W88" s="34"/>
      <x:c r="X88" s="34"/>
      <x:c r="Y88" s="34"/>
      <x:c r="Z88" s="34"/>
      <x:c r="AA88" s="34"/>
      <x:c r="AB88" s="34"/>
      <x:c r="AC88" s="34"/>
      <x:c r="AD88" s="34"/>
      <x:c r="AE88" s="34"/>
      <x:c r="AF88" s="34"/>
      <x:c r="AG88" s="34"/>
      <x:c r="AH88" s="35" t="str">
        <x:f>IF(COUNTA(X88:AA88)&lt;4,"",ROUND((X88*20)*45%+(((Y88-1)/4*100)*30%+((Z88-1)/4*100)*25%+(1-(AA88-1)/4)*100*25%+(1-(MAX(1,AC88:AE88)-1)/4)*100*20%)*55%,0))</x:f>
      </x:c>
      <x:c r="AI88" s="35" t="str">
        <x:f>IF(AH88="","",IF(AH88&gt;=85,"Excelente",IF(AH88&gt;=70,"Adequado",IF(AH88&gt;=50,"Atenção","Crítico"))))</x:f>
      </x:c>
    </x:row>
    <x:row r="89">
      <x:c r="A89" s="33"/>
      <x:c r="B89" s="33"/>
      <x:c r="C89" s="33"/>
      <x:c r="D89" s="33"/>
      <x:c r="E89" s="36"/>
      <x:c r="F89" s="36"/>
      <x:c r="G89" s="33"/>
      <x:c r="H89" s="33"/>
      <x:c r="I89" s="33"/>
      <x:c r="J89" s="33"/>
      <x:c r="K89" s="33"/>
      <x:c r="L89" s="33"/>
      <x:c r="M89" s="33"/>
      <x:c r="N89" s="37"/>
      <x:c r="O89" s="33"/>
      <x:c r="P89" s="33"/>
      <x:c r="Q89" s="33"/>
      <x:c r="R89" s="37"/>
      <x:c r="S89" s="33"/>
      <x:c r="T89" s="33"/>
      <x:c r="U89" s="33"/>
      <x:c r="V89" s="38"/>
      <x:c r="W89" s="34"/>
      <x:c r="X89" s="34"/>
      <x:c r="Y89" s="34"/>
      <x:c r="Z89" s="34"/>
      <x:c r="AA89" s="34"/>
      <x:c r="AB89" s="34"/>
      <x:c r="AC89" s="34"/>
      <x:c r="AD89" s="34"/>
      <x:c r="AE89" s="34"/>
      <x:c r="AF89" s="34"/>
      <x:c r="AG89" s="34"/>
      <x:c r="AH89" s="35" t="str">
        <x:f>IF(COUNTA(X89:AA89)&lt;4,"",ROUND((X89*20)*45%+(((Y89-1)/4*100)*30%+((Z89-1)/4*100)*25%+(1-(AA89-1)/4)*100*25%+(1-(MAX(1,AC89:AE89)-1)/4)*100*20%)*55%,0))</x:f>
      </x:c>
      <x:c r="AI89" s="35" t="str">
        <x:f>IF(AH89="","",IF(AH89&gt;=85,"Excelente",IF(AH89&gt;=70,"Adequado",IF(AH89&gt;=50,"Atenção","Crítico"))))</x:f>
      </x:c>
    </x:row>
    <x:row r="90">
      <x:c r="A90" s="33"/>
      <x:c r="B90" s="33"/>
      <x:c r="C90" s="33"/>
      <x:c r="D90" s="33"/>
      <x:c r="E90" s="36"/>
      <x:c r="F90" s="36"/>
      <x:c r="G90" s="33"/>
      <x:c r="H90" s="33"/>
      <x:c r="I90" s="33"/>
      <x:c r="J90" s="33"/>
      <x:c r="K90" s="33"/>
      <x:c r="L90" s="33"/>
      <x:c r="M90" s="33"/>
      <x:c r="N90" s="37"/>
      <x:c r="O90" s="33"/>
      <x:c r="P90" s="33"/>
      <x:c r="Q90" s="33"/>
      <x:c r="R90" s="37"/>
      <x:c r="S90" s="33"/>
      <x:c r="T90" s="33"/>
      <x:c r="U90" s="33"/>
      <x:c r="V90" s="38"/>
      <x:c r="W90" s="34"/>
      <x:c r="X90" s="34"/>
      <x:c r="Y90" s="34"/>
      <x:c r="Z90" s="34"/>
      <x:c r="AA90" s="34"/>
      <x:c r="AB90" s="34"/>
      <x:c r="AC90" s="34"/>
      <x:c r="AD90" s="34"/>
      <x:c r="AE90" s="34"/>
      <x:c r="AF90" s="34"/>
      <x:c r="AG90" s="34"/>
      <x:c r="AH90" s="35" t="str">
        <x:f>IF(COUNTA(X90:AA90)&lt;4,"",ROUND((X90*20)*45%+(((Y90-1)/4*100)*30%+((Z90-1)/4*100)*25%+(1-(AA90-1)/4)*100*25%+(1-(MAX(1,AC90:AE90)-1)/4)*100*20%)*55%,0))</x:f>
      </x:c>
      <x:c r="AI90" s="35" t="str">
        <x:f>IF(AH90="","",IF(AH90&gt;=85,"Excelente",IF(AH90&gt;=70,"Adequado",IF(AH90&gt;=50,"Atenção","Crítico"))))</x:f>
      </x:c>
    </x:row>
    <x:row r="91">
      <x:c r="A91" s="33"/>
      <x:c r="B91" s="33"/>
      <x:c r="C91" s="33"/>
      <x:c r="D91" s="33"/>
      <x:c r="E91" s="36"/>
      <x:c r="F91" s="36"/>
      <x:c r="G91" s="33"/>
      <x:c r="H91" s="33"/>
      <x:c r="I91" s="33"/>
      <x:c r="J91" s="33"/>
      <x:c r="K91" s="33"/>
      <x:c r="L91" s="33"/>
      <x:c r="M91" s="33"/>
      <x:c r="N91" s="37"/>
      <x:c r="O91" s="33"/>
      <x:c r="P91" s="33"/>
      <x:c r="Q91" s="33"/>
      <x:c r="R91" s="37"/>
      <x:c r="S91" s="33"/>
      <x:c r="T91" s="33"/>
      <x:c r="U91" s="33"/>
      <x:c r="V91" s="38"/>
      <x:c r="W91" s="34"/>
      <x:c r="X91" s="34"/>
      <x:c r="Y91" s="34"/>
      <x:c r="Z91" s="34"/>
      <x:c r="AA91" s="34"/>
      <x:c r="AB91" s="34"/>
      <x:c r="AC91" s="34"/>
      <x:c r="AD91" s="34"/>
      <x:c r="AE91" s="34"/>
      <x:c r="AF91" s="34"/>
      <x:c r="AG91" s="34"/>
      <x:c r="AH91" s="35" t="str">
        <x:f>IF(COUNTA(X91:AA91)&lt;4,"",ROUND((X91*20)*45%+(((Y91-1)/4*100)*30%+((Z91-1)/4*100)*25%+(1-(AA91-1)/4)*100*25%+(1-(MAX(1,AC91:AE91)-1)/4)*100*20%)*55%,0))</x:f>
      </x:c>
      <x:c r="AI91" s="35" t="str">
        <x:f>IF(AH91="","",IF(AH91&gt;=85,"Excelente",IF(AH91&gt;=70,"Adequado",IF(AH91&gt;=50,"Atenção","Crítico"))))</x:f>
      </x:c>
    </x:row>
    <x:row r="92">
      <x:c r="A92" s="33"/>
      <x:c r="B92" s="33"/>
      <x:c r="C92" s="33"/>
      <x:c r="D92" s="33"/>
      <x:c r="E92" s="36"/>
      <x:c r="F92" s="36"/>
      <x:c r="G92" s="33"/>
      <x:c r="H92" s="33"/>
      <x:c r="I92" s="33"/>
      <x:c r="J92" s="33"/>
      <x:c r="K92" s="33"/>
      <x:c r="L92" s="33"/>
      <x:c r="M92" s="33"/>
      <x:c r="N92" s="37"/>
      <x:c r="O92" s="33"/>
      <x:c r="P92" s="33"/>
      <x:c r="Q92" s="33"/>
      <x:c r="R92" s="37"/>
      <x:c r="S92" s="33"/>
      <x:c r="T92" s="33"/>
      <x:c r="U92" s="33"/>
      <x:c r="V92" s="38"/>
      <x:c r="W92" s="34"/>
      <x:c r="X92" s="34"/>
      <x:c r="Y92" s="34"/>
      <x:c r="Z92" s="34"/>
      <x:c r="AA92" s="34"/>
      <x:c r="AB92" s="34"/>
      <x:c r="AC92" s="34"/>
      <x:c r="AD92" s="34"/>
      <x:c r="AE92" s="34"/>
      <x:c r="AF92" s="34"/>
      <x:c r="AG92" s="34"/>
      <x:c r="AH92" s="35" t="str">
        <x:f>IF(COUNTA(X92:AA92)&lt;4,"",ROUND((X92*20)*45%+(((Y92-1)/4*100)*30%+((Z92-1)/4*100)*25%+(1-(AA92-1)/4)*100*25%+(1-(MAX(1,AC92:AE92)-1)/4)*100*20%)*55%,0))</x:f>
      </x:c>
      <x:c r="AI92" s="35" t="str">
        <x:f>IF(AH92="","",IF(AH92&gt;=85,"Excelente",IF(AH92&gt;=70,"Adequado",IF(AH92&gt;=50,"Atenção","Crítico"))))</x:f>
      </x:c>
    </x:row>
    <x:row r="93">
      <x:c r="A93" s="33"/>
      <x:c r="B93" s="33"/>
      <x:c r="C93" s="33"/>
      <x:c r="D93" s="33"/>
      <x:c r="E93" s="36"/>
      <x:c r="F93" s="36"/>
      <x:c r="G93" s="33"/>
      <x:c r="H93" s="33"/>
      <x:c r="I93" s="33"/>
      <x:c r="J93" s="33"/>
      <x:c r="K93" s="33"/>
      <x:c r="L93" s="33"/>
      <x:c r="M93" s="33"/>
      <x:c r="N93" s="37"/>
      <x:c r="O93" s="33"/>
      <x:c r="P93" s="33"/>
      <x:c r="Q93" s="33"/>
      <x:c r="R93" s="37"/>
      <x:c r="S93" s="33"/>
      <x:c r="T93" s="33"/>
      <x:c r="U93" s="33"/>
      <x:c r="V93" s="38"/>
      <x:c r="W93" s="34"/>
      <x:c r="X93" s="34"/>
      <x:c r="Y93" s="34"/>
      <x:c r="Z93" s="34"/>
      <x:c r="AA93" s="34"/>
      <x:c r="AB93" s="34"/>
      <x:c r="AC93" s="34"/>
      <x:c r="AD93" s="34"/>
      <x:c r="AE93" s="34"/>
      <x:c r="AF93" s="34"/>
      <x:c r="AG93" s="34"/>
      <x:c r="AH93" s="35" t="str">
        <x:f>IF(COUNTA(X93:AA93)&lt;4,"",ROUND((X93*20)*45%+(((Y93-1)/4*100)*30%+((Z93-1)/4*100)*25%+(1-(AA93-1)/4)*100*25%+(1-(MAX(1,AC93:AE93)-1)/4)*100*20%)*55%,0))</x:f>
      </x:c>
      <x:c r="AI93" s="35" t="str">
        <x:f>IF(AH93="","",IF(AH93&gt;=85,"Excelente",IF(AH93&gt;=70,"Adequado",IF(AH93&gt;=50,"Atenção","Crítico"))))</x:f>
      </x:c>
    </x:row>
    <x:row r="94">
      <x:c r="A94" s="33"/>
      <x:c r="B94" s="33"/>
      <x:c r="C94" s="33"/>
      <x:c r="D94" s="33"/>
      <x:c r="E94" s="36"/>
      <x:c r="F94" s="36"/>
      <x:c r="G94" s="33"/>
      <x:c r="H94" s="33"/>
      <x:c r="I94" s="33"/>
      <x:c r="J94" s="33"/>
      <x:c r="K94" s="33"/>
      <x:c r="L94" s="33"/>
      <x:c r="M94" s="33"/>
      <x:c r="N94" s="37"/>
      <x:c r="O94" s="33"/>
      <x:c r="P94" s="33"/>
      <x:c r="Q94" s="33"/>
      <x:c r="R94" s="37"/>
      <x:c r="S94" s="33"/>
      <x:c r="T94" s="33"/>
      <x:c r="U94" s="33"/>
      <x:c r="V94" s="38"/>
      <x:c r="W94" s="34"/>
      <x:c r="X94" s="34"/>
      <x:c r="Y94" s="34"/>
      <x:c r="Z94" s="34"/>
      <x:c r="AA94" s="34"/>
      <x:c r="AB94" s="34"/>
      <x:c r="AC94" s="34"/>
      <x:c r="AD94" s="34"/>
      <x:c r="AE94" s="34"/>
      <x:c r="AF94" s="34"/>
      <x:c r="AG94" s="34"/>
      <x:c r="AH94" s="35" t="str">
        <x:f>IF(COUNTA(X94:AA94)&lt;4,"",ROUND((X94*20)*45%+(((Y94-1)/4*100)*30%+((Z94-1)/4*100)*25%+(1-(AA94-1)/4)*100*25%+(1-(MAX(1,AC94:AE94)-1)/4)*100*20%)*55%,0))</x:f>
      </x:c>
      <x:c r="AI94" s="35" t="str">
        <x:f>IF(AH94="","",IF(AH94&gt;=85,"Excelente",IF(AH94&gt;=70,"Adequado",IF(AH94&gt;=50,"Atenção","Crítico"))))</x:f>
      </x:c>
    </x:row>
    <x:row r="95">
      <x:c r="A95" s="33"/>
      <x:c r="B95" s="33"/>
      <x:c r="C95" s="33"/>
      <x:c r="D95" s="33"/>
      <x:c r="E95" s="36"/>
      <x:c r="F95" s="36"/>
      <x:c r="G95" s="33"/>
      <x:c r="H95" s="33"/>
      <x:c r="I95" s="33"/>
      <x:c r="J95" s="33"/>
      <x:c r="K95" s="33"/>
      <x:c r="L95" s="33"/>
      <x:c r="M95" s="33"/>
      <x:c r="N95" s="37"/>
      <x:c r="O95" s="33"/>
      <x:c r="P95" s="33"/>
      <x:c r="Q95" s="33"/>
      <x:c r="R95" s="37"/>
      <x:c r="S95" s="33"/>
      <x:c r="T95" s="33"/>
      <x:c r="U95" s="33"/>
      <x:c r="V95" s="38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5" t="str">
        <x:f>IF(COUNTA(X95:AA95)&lt;4,"",ROUND((X95*20)*45%+(((Y95-1)/4*100)*30%+((Z95-1)/4*100)*25%+(1-(AA95-1)/4)*100*25%+(1-(MAX(1,AC95:AE95)-1)/4)*100*20%)*55%,0))</x:f>
      </x:c>
      <x:c r="AI95" s="35" t="str">
        <x:f>IF(AH95="","",IF(AH95&gt;=85,"Excelente",IF(AH95&gt;=70,"Adequado",IF(AH95&gt;=50,"Atenção","Crítico"))))</x:f>
      </x:c>
    </x:row>
    <x:row r="96">
      <x:c r="A96" s="33"/>
      <x:c r="B96" s="33"/>
      <x:c r="C96" s="33"/>
      <x:c r="D96" s="33"/>
      <x:c r="E96" s="36"/>
      <x:c r="F96" s="36"/>
      <x:c r="G96" s="33"/>
      <x:c r="H96" s="33"/>
      <x:c r="I96" s="33"/>
      <x:c r="J96" s="33"/>
      <x:c r="K96" s="33"/>
      <x:c r="L96" s="33"/>
      <x:c r="M96" s="33"/>
      <x:c r="N96" s="37"/>
      <x:c r="O96" s="33"/>
      <x:c r="P96" s="33"/>
      <x:c r="Q96" s="33"/>
      <x:c r="R96" s="37"/>
      <x:c r="S96" s="33"/>
      <x:c r="T96" s="33"/>
      <x:c r="U96" s="33"/>
      <x:c r="V96" s="38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5" t="str">
        <x:f>IF(COUNTA(X96:AA96)&lt;4,"",ROUND((X96*20)*45%+(((Y96-1)/4*100)*30%+((Z96-1)/4*100)*25%+(1-(AA96-1)/4)*100*25%+(1-(MAX(1,AC96:AE96)-1)/4)*100*20%)*55%,0))</x:f>
      </x:c>
      <x:c r="AI96" s="35" t="str">
        <x:f>IF(AH96="","",IF(AH96&gt;=85,"Excelente",IF(AH96&gt;=70,"Adequado",IF(AH96&gt;=50,"Atenção","Crítico"))))</x:f>
      </x:c>
    </x:row>
    <x:row r="97">
      <x:c r="A97" s="33"/>
      <x:c r="B97" s="33"/>
      <x:c r="C97" s="33"/>
      <x:c r="D97" s="33"/>
      <x:c r="E97" s="36"/>
      <x:c r="F97" s="36"/>
      <x:c r="G97" s="33"/>
      <x:c r="H97" s="33"/>
      <x:c r="I97" s="33"/>
      <x:c r="J97" s="33"/>
      <x:c r="K97" s="33"/>
      <x:c r="L97" s="33"/>
      <x:c r="M97" s="33"/>
      <x:c r="N97" s="37"/>
      <x:c r="O97" s="33"/>
      <x:c r="P97" s="33"/>
      <x:c r="Q97" s="33"/>
      <x:c r="R97" s="37"/>
      <x:c r="S97" s="33"/>
      <x:c r="T97" s="33"/>
      <x:c r="U97" s="33"/>
      <x:c r="V97" s="38"/>
      <x:c r="W97" s="34"/>
      <x:c r="X97" s="34"/>
      <x:c r="Y97" s="34"/>
      <x:c r="Z97" s="34"/>
      <x:c r="AA97" s="34"/>
      <x:c r="AB97" s="34"/>
      <x:c r="AC97" s="34"/>
      <x:c r="AD97" s="34"/>
      <x:c r="AE97" s="34"/>
      <x:c r="AF97" s="34"/>
      <x:c r="AG97" s="34"/>
      <x:c r="AH97" s="35" t="str">
        <x:f>IF(COUNTA(X97:AA97)&lt;4,"",ROUND((X97*20)*45%+(((Y97-1)/4*100)*30%+((Z97-1)/4*100)*25%+(1-(AA97-1)/4)*100*25%+(1-(MAX(1,AC97:AE97)-1)/4)*100*20%)*55%,0))</x:f>
      </x:c>
      <x:c r="AI97" s="35" t="str">
        <x:f>IF(AH97="","",IF(AH97&gt;=85,"Excelente",IF(AH97&gt;=70,"Adequado",IF(AH97&gt;=50,"Atenção","Crítico"))))</x:f>
      </x:c>
    </x:row>
    <x:row r="98">
      <x:c r="A98" s="33"/>
      <x:c r="B98" s="33"/>
      <x:c r="C98" s="33"/>
      <x:c r="D98" s="33"/>
      <x:c r="E98" s="36"/>
      <x:c r="F98" s="36"/>
      <x:c r="G98" s="33"/>
      <x:c r="H98" s="33"/>
      <x:c r="I98" s="33"/>
      <x:c r="J98" s="33"/>
      <x:c r="K98" s="33"/>
      <x:c r="L98" s="33"/>
      <x:c r="M98" s="33"/>
      <x:c r="N98" s="37"/>
      <x:c r="O98" s="33"/>
      <x:c r="P98" s="33"/>
      <x:c r="Q98" s="33"/>
      <x:c r="R98" s="37"/>
      <x:c r="S98" s="33"/>
      <x:c r="T98" s="33"/>
      <x:c r="U98" s="33"/>
      <x:c r="V98" s="38"/>
      <x:c r="W98" s="34"/>
      <x:c r="X98" s="34"/>
      <x:c r="Y98" s="34"/>
      <x:c r="Z98" s="34"/>
      <x:c r="AA98" s="34"/>
      <x:c r="AB98" s="34"/>
      <x:c r="AC98" s="34"/>
      <x:c r="AD98" s="34"/>
      <x:c r="AE98" s="34"/>
      <x:c r="AF98" s="34"/>
      <x:c r="AG98" s="34"/>
      <x:c r="AH98" s="35" t="str">
        <x:f>IF(COUNTA(X98:AA98)&lt;4,"",ROUND((X98*20)*45%+(((Y98-1)/4*100)*30%+((Z98-1)/4*100)*25%+(1-(AA98-1)/4)*100*25%+(1-(MAX(1,AC98:AE98)-1)/4)*100*20%)*55%,0))</x:f>
      </x:c>
      <x:c r="AI98" s="35" t="str">
        <x:f>IF(AH98="","",IF(AH98&gt;=85,"Excelente",IF(AH98&gt;=70,"Adequado",IF(AH98&gt;=50,"Atenção","Crítico"))))</x:f>
      </x:c>
    </x:row>
    <x:row r="99">
      <x:c r="A99" s="33"/>
      <x:c r="B99" s="33"/>
      <x:c r="C99" s="33"/>
      <x:c r="D99" s="33"/>
      <x:c r="E99" s="36"/>
      <x:c r="F99" s="36"/>
      <x:c r="G99" s="33"/>
      <x:c r="H99" s="33"/>
      <x:c r="I99" s="33"/>
      <x:c r="J99" s="33"/>
      <x:c r="K99" s="33"/>
      <x:c r="L99" s="33"/>
      <x:c r="M99" s="33"/>
      <x:c r="N99" s="37"/>
      <x:c r="O99" s="33"/>
      <x:c r="P99" s="33"/>
      <x:c r="Q99" s="33"/>
      <x:c r="R99" s="37"/>
      <x:c r="S99" s="33"/>
      <x:c r="T99" s="33"/>
      <x:c r="U99" s="33"/>
      <x:c r="V99" s="38"/>
      <x:c r="W99" s="34"/>
      <x:c r="X99" s="34"/>
      <x:c r="Y99" s="34"/>
      <x:c r="Z99" s="34"/>
      <x:c r="AA99" s="34"/>
      <x:c r="AB99" s="34"/>
      <x:c r="AC99" s="34"/>
      <x:c r="AD99" s="34"/>
      <x:c r="AE99" s="34"/>
      <x:c r="AF99" s="34"/>
      <x:c r="AG99" s="34"/>
      <x:c r="AH99" s="35" t="str">
        <x:f>IF(COUNTA(X99:AA99)&lt;4,"",ROUND((X99*20)*45%+(((Y99-1)/4*100)*30%+((Z99-1)/4*100)*25%+(1-(AA99-1)/4)*100*25%+(1-(MAX(1,AC99:AE99)-1)/4)*100*20%)*55%,0))</x:f>
      </x:c>
      <x:c r="AI99" s="35" t="str">
        <x:f>IF(AH99="","",IF(AH99&gt;=85,"Excelente",IF(AH99&gt;=70,"Adequado",IF(AH99&gt;=50,"Atenção","Crítico"))))</x:f>
      </x:c>
    </x:row>
    <x:row r="100">
      <x:c r="A100" s="33"/>
      <x:c r="B100" s="33"/>
      <x:c r="C100" s="33"/>
      <x:c r="D100" s="33"/>
      <x:c r="E100" s="36"/>
      <x:c r="F100" s="36"/>
      <x:c r="G100" s="33"/>
      <x:c r="H100" s="33"/>
      <x:c r="I100" s="33"/>
      <x:c r="J100" s="33"/>
      <x:c r="K100" s="33"/>
      <x:c r="L100" s="33"/>
      <x:c r="M100" s="33"/>
      <x:c r="N100" s="37"/>
      <x:c r="O100" s="33"/>
      <x:c r="P100" s="33"/>
      <x:c r="Q100" s="33"/>
      <x:c r="R100" s="37"/>
      <x:c r="S100" s="33"/>
      <x:c r="T100" s="33"/>
      <x:c r="U100" s="33"/>
      <x:c r="V100" s="38"/>
      <x:c r="W100" s="34"/>
      <x:c r="X100" s="34"/>
      <x:c r="Y100" s="34"/>
      <x:c r="Z100" s="34"/>
      <x:c r="AA100" s="34"/>
      <x:c r="AB100" s="34"/>
      <x:c r="AC100" s="34"/>
      <x:c r="AD100" s="34"/>
      <x:c r="AE100" s="34"/>
      <x:c r="AF100" s="34"/>
      <x:c r="AG100" s="34"/>
      <x:c r="AH100" s="35" t="str">
        <x:f>IF(COUNTA(X100:AA100)&lt;4,"",ROUND((X100*20)*45%+(((Y100-1)/4*100)*30%+((Z100-1)/4*100)*25%+(1-(AA100-1)/4)*100*25%+(1-(MAX(1,AC100:AE100)-1)/4)*100*20%)*55%,0))</x:f>
      </x:c>
      <x:c r="AI100" s="35" t="str">
        <x:f>IF(AH100="","",IF(AH100&gt;=85,"Excelente",IF(AH100&gt;=70,"Adequado",IF(AH100&gt;=50,"Atenção","Crítico"))))</x:f>
      </x:c>
    </x:row>
    <x:row r="101">
      <x:c r="A101" s="33"/>
      <x:c r="B101" s="33"/>
      <x:c r="C101" s="33"/>
      <x:c r="D101" s="33"/>
      <x:c r="E101" s="36"/>
      <x:c r="F101" s="36"/>
      <x:c r="G101" s="33"/>
      <x:c r="H101" s="33"/>
      <x:c r="I101" s="33"/>
      <x:c r="J101" s="33"/>
      <x:c r="K101" s="33"/>
      <x:c r="L101" s="33"/>
      <x:c r="M101" s="33"/>
      <x:c r="N101" s="37"/>
      <x:c r="O101" s="33"/>
      <x:c r="P101" s="33"/>
      <x:c r="Q101" s="33"/>
      <x:c r="R101" s="37"/>
      <x:c r="S101" s="33"/>
      <x:c r="T101" s="33"/>
      <x:c r="U101" s="33"/>
      <x:c r="V101" s="38"/>
      <x:c r="W101" s="34"/>
      <x:c r="X101" s="34"/>
      <x:c r="Y101" s="34"/>
      <x:c r="Z101" s="34"/>
      <x:c r="AA101" s="34"/>
      <x:c r="AB101" s="34"/>
      <x:c r="AC101" s="34"/>
      <x:c r="AD101" s="34"/>
      <x:c r="AE101" s="34"/>
      <x:c r="AF101" s="34"/>
      <x:c r="AG101" s="34"/>
      <x:c r="AH101" s="35" t="str">
        <x:f>IF(COUNTA(X101:AA101)&lt;4,"",ROUND((X101*20)*45%+(((Y101-1)/4*100)*30%+((Z101-1)/4*100)*25%+(1-(AA101-1)/4)*100*25%+(1-(MAX(1,AC101:AE101)-1)/4)*100*20%)*55%,0))</x:f>
      </x:c>
      <x:c r="AI101" s="35" t="str">
        <x:f>IF(AH101="","",IF(AH101&gt;=85,"Excelente",IF(AH101&gt;=70,"Adequado",IF(AH101&gt;=50,"Atenção","Crítico"))))</x:f>
      </x:c>
    </x:row>
    <x:row r="102">
      <x:c r="A102" s="33"/>
      <x:c r="B102" s="33"/>
      <x:c r="C102" s="33"/>
      <x:c r="D102" s="33"/>
      <x:c r="E102" s="36"/>
      <x:c r="F102" s="36"/>
      <x:c r="G102" s="33"/>
      <x:c r="H102" s="33"/>
      <x:c r="I102" s="33"/>
      <x:c r="J102" s="33"/>
      <x:c r="K102" s="33"/>
      <x:c r="L102" s="33"/>
      <x:c r="M102" s="33"/>
      <x:c r="N102" s="37"/>
      <x:c r="O102" s="33"/>
      <x:c r="P102" s="33"/>
      <x:c r="Q102" s="33"/>
      <x:c r="R102" s="37"/>
      <x:c r="S102" s="33"/>
      <x:c r="T102" s="33"/>
      <x:c r="U102" s="33"/>
      <x:c r="V102" s="38"/>
      <x:c r="W102" s="34"/>
      <x:c r="X102" s="34"/>
      <x:c r="Y102" s="34"/>
      <x:c r="Z102" s="34"/>
      <x:c r="AA102" s="34"/>
      <x:c r="AB102" s="34"/>
      <x:c r="AC102" s="34"/>
      <x:c r="AD102" s="34"/>
      <x:c r="AE102" s="34"/>
      <x:c r="AF102" s="34"/>
      <x:c r="AG102" s="34"/>
      <x:c r="AH102" s="35" t="str">
        <x:f>IF(COUNTA(X102:AA102)&lt;4,"",ROUND((X102*20)*45%+(((Y102-1)/4*100)*30%+((Z102-1)/4*100)*25%+(1-(AA102-1)/4)*100*25%+(1-(MAX(1,AC102:AE102)-1)/4)*100*20%)*55%,0))</x:f>
      </x:c>
      <x:c r="AI102" s="35" t="str">
        <x:f>IF(AH102="","",IF(AH102&gt;=85,"Excelente",IF(AH102&gt;=70,"Adequado",IF(AH102&gt;=50,"Atenção","Crítico"))))</x:f>
      </x:c>
    </x:row>
    <x:row r="103">
      <x:c r="A103" s="33"/>
      <x:c r="B103" s="33"/>
      <x:c r="C103" s="33"/>
      <x:c r="D103" s="33"/>
      <x:c r="E103" s="36"/>
      <x:c r="F103" s="36"/>
      <x:c r="G103" s="33"/>
      <x:c r="H103" s="33"/>
      <x:c r="I103" s="33"/>
      <x:c r="J103" s="33"/>
      <x:c r="K103" s="33"/>
      <x:c r="L103" s="33"/>
      <x:c r="M103" s="33"/>
      <x:c r="N103" s="37"/>
      <x:c r="O103" s="33"/>
      <x:c r="P103" s="33"/>
      <x:c r="Q103" s="33"/>
      <x:c r="R103" s="37"/>
      <x:c r="S103" s="33"/>
      <x:c r="T103" s="33"/>
      <x:c r="U103" s="33"/>
      <x:c r="V103" s="38"/>
      <x:c r="W103" s="34"/>
      <x:c r="X103" s="34"/>
      <x:c r="Y103" s="34"/>
      <x:c r="Z103" s="34"/>
      <x:c r="AA103" s="34"/>
      <x:c r="AB103" s="34"/>
      <x:c r="AC103" s="34"/>
      <x:c r="AD103" s="34"/>
      <x:c r="AE103" s="34"/>
      <x:c r="AF103" s="34"/>
      <x:c r="AG103" s="34"/>
      <x:c r="AH103" s="35" t="str">
        <x:f>IF(COUNTA(X103:AA103)&lt;4,"",ROUND((X103*20)*45%+(((Y103-1)/4*100)*30%+((Z103-1)/4*100)*25%+(1-(AA103-1)/4)*100*25%+(1-(MAX(1,AC103:AE103)-1)/4)*100*20%)*55%,0))</x:f>
      </x:c>
      <x:c r="AI103" s="35" t="str">
        <x:f>IF(AH103="","",IF(AH103&gt;=85,"Excelente",IF(AH103&gt;=70,"Adequado",IF(AH103&gt;=50,"Atenção","Crítico"))))</x:f>
      </x:c>
    </x:row>
    <x:row r="104">
      <x:c r="A104" s="33"/>
      <x:c r="B104" s="33"/>
      <x:c r="C104" s="33"/>
      <x:c r="D104" s="33"/>
      <x:c r="E104" s="36"/>
      <x:c r="F104" s="36"/>
      <x:c r="G104" s="33"/>
      <x:c r="H104" s="33"/>
      <x:c r="I104" s="33"/>
      <x:c r="J104" s="33"/>
      <x:c r="K104" s="33"/>
      <x:c r="L104" s="33"/>
      <x:c r="M104" s="33"/>
      <x:c r="N104" s="37"/>
      <x:c r="O104" s="33"/>
      <x:c r="P104" s="33"/>
      <x:c r="Q104" s="33"/>
      <x:c r="R104" s="37"/>
      <x:c r="S104" s="33"/>
      <x:c r="T104" s="33"/>
      <x:c r="U104" s="33"/>
      <x:c r="V104" s="38"/>
      <x:c r="W104" s="34"/>
      <x:c r="X104" s="34"/>
      <x:c r="Y104" s="34"/>
      <x:c r="Z104" s="34"/>
      <x:c r="AA104" s="34"/>
      <x:c r="AB104" s="34"/>
      <x:c r="AC104" s="34"/>
      <x:c r="AD104" s="34"/>
      <x:c r="AE104" s="34"/>
      <x:c r="AF104" s="34"/>
      <x:c r="AG104" s="34"/>
      <x:c r="AH104" s="35" t="str">
        <x:f>IF(COUNTA(X104:AA104)&lt;4,"",ROUND((X104*20)*45%+(((Y104-1)/4*100)*30%+((Z104-1)/4*100)*25%+(1-(AA104-1)/4)*100*25%+(1-(MAX(1,AC104:AE104)-1)/4)*100*20%)*55%,0))</x:f>
      </x:c>
      <x:c r="AI104" s="35" t="str">
        <x:f>IF(AH104="","",IF(AH104&gt;=85,"Excelente",IF(AH104&gt;=70,"Adequado",IF(AH104&gt;=50,"Atenção","Crítico"))))</x:f>
      </x:c>
    </x:row>
    <x:row r="105">
      <x:c r="A105" s="33"/>
      <x:c r="B105" s="33"/>
      <x:c r="C105" s="33"/>
      <x:c r="D105" s="33"/>
      <x:c r="E105" s="36"/>
      <x:c r="F105" s="36"/>
      <x:c r="G105" s="33"/>
      <x:c r="H105" s="33"/>
      <x:c r="I105" s="33"/>
      <x:c r="J105" s="33"/>
      <x:c r="K105" s="33"/>
      <x:c r="L105" s="33"/>
      <x:c r="M105" s="33"/>
      <x:c r="N105" s="37"/>
      <x:c r="O105" s="33"/>
      <x:c r="P105" s="33"/>
      <x:c r="Q105" s="33"/>
      <x:c r="R105" s="37"/>
      <x:c r="S105" s="33"/>
      <x:c r="T105" s="33"/>
      <x:c r="U105" s="33"/>
      <x:c r="V105" s="38"/>
      <x:c r="W105" s="34"/>
      <x:c r="X105" s="34"/>
      <x:c r="Y105" s="34"/>
      <x:c r="Z105" s="34"/>
      <x:c r="AA105" s="34"/>
      <x:c r="AB105" s="34"/>
      <x:c r="AC105" s="34"/>
      <x:c r="AD105" s="34"/>
      <x:c r="AE105" s="34"/>
      <x:c r="AF105" s="34"/>
      <x:c r="AG105" s="34"/>
      <x:c r="AH105" s="35" t="str">
        <x:f>IF(COUNTA(X105:AA105)&lt;4,"",ROUND((X105*20)*45%+(((Y105-1)/4*100)*30%+((Z105-1)/4*100)*25%+(1-(AA105-1)/4)*100*25%+(1-(MAX(1,AC105:AE105)-1)/4)*100*20%)*55%,0))</x:f>
      </x:c>
      <x:c r="AI105" s="35" t="str">
        <x:f>IF(AH105="","",IF(AH105&gt;=85,"Excelente",IF(AH105&gt;=70,"Adequado",IF(AH105&gt;=50,"Atenção","Crítico"))))</x:f>
      </x:c>
    </x:row>
    <x:row r="106">
      <x:c r="A106" s="33"/>
      <x:c r="B106" s="33"/>
      <x:c r="C106" s="33"/>
      <x:c r="D106" s="33"/>
      <x:c r="E106" s="36"/>
      <x:c r="F106" s="36"/>
      <x:c r="G106" s="33"/>
      <x:c r="H106" s="33"/>
      <x:c r="I106" s="33"/>
      <x:c r="J106" s="33"/>
      <x:c r="K106" s="33"/>
      <x:c r="L106" s="33"/>
      <x:c r="M106" s="33"/>
      <x:c r="N106" s="37"/>
      <x:c r="O106" s="33"/>
      <x:c r="P106" s="33"/>
      <x:c r="Q106" s="33"/>
      <x:c r="R106" s="37"/>
      <x:c r="S106" s="33"/>
      <x:c r="T106" s="33"/>
      <x:c r="U106" s="33"/>
      <x:c r="V106" s="38"/>
      <x:c r="W106" s="34"/>
      <x:c r="X106" s="34"/>
      <x:c r="Y106" s="34"/>
      <x:c r="Z106" s="34"/>
      <x:c r="AA106" s="34"/>
      <x:c r="AB106" s="34"/>
      <x:c r="AC106" s="34"/>
      <x:c r="AD106" s="34"/>
      <x:c r="AE106" s="34"/>
      <x:c r="AF106" s="34"/>
      <x:c r="AG106" s="34"/>
      <x:c r="AH106" s="35" t="str">
        <x:f>IF(COUNTA(X106:AA106)&lt;4,"",ROUND((X106*20)*45%+(((Y106-1)/4*100)*30%+((Z106-1)/4*100)*25%+(1-(AA106-1)/4)*100*25%+(1-(MAX(1,AC106:AE106)-1)/4)*100*20%)*55%,0))</x:f>
      </x:c>
      <x:c r="AI106" s="35" t="str">
        <x:f>IF(AH106="","",IF(AH106&gt;=85,"Excelente",IF(AH106&gt;=70,"Adequado",IF(AH106&gt;=50,"Atenção","Crítico"))))</x:f>
      </x:c>
    </x:row>
    <x:row r="107">
      <x:c r="A107" s="33"/>
      <x:c r="B107" s="33"/>
      <x:c r="C107" s="33"/>
      <x:c r="D107" s="33"/>
      <x:c r="E107" s="36"/>
      <x:c r="F107" s="36"/>
      <x:c r="G107" s="33"/>
      <x:c r="H107" s="33"/>
      <x:c r="I107" s="33"/>
      <x:c r="J107" s="33"/>
      <x:c r="K107" s="33"/>
      <x:c r="L107" s="33"/>
      <x:c r="M107" s="33"/>
      <x:c r="N107" s="37"/>
      <x:c r="O107" s="33"/>
      <x:c r="P107" s="33"/>
      <x:c r="Q107" s="33"/>
      <x:c r="R107" s="37"/>
      <x:c r="S107" s="33"/>
      <x:c r="T107" s="33"/>
      <x:c r="U107" s="33"/>
      <x:c r="V107" s="38"/>
      <x:c r="W107" s="34"/>
      <x:c r="X107" s="34"/>
      <x:c r="Y107" s="34"/>
      <x:c r="Z107" s="34"/>
      <x:c r="AA107" s="34"/>
      <x:c r="AB107" s="34"/>
      <x:c r="AC107" s="34"/>
      <x:c r="AD107" s="34"/>
      <x:c r="AE107" s="34"/>
      <x:c r="AF107" s="34"/>
      <x:c r="AG107" s="34"/>
      <x:c r="AH107" s="35" t="str">
        <x:f>IF(COUNTA(X107:AA107)&lt;4,"",ROUND((X107*20)*45%+(((Y107-1)/4*100)*30%+((Z107-1)/4*100)*25%+(1-(AA107-1)/4)*100*25%+(1-(MAX(1,AC107:AE107)-1)/4)*100*20%)*55%,0))</x:f>
      </x:c>
      <x:c r="AI107" s="35" t="str">
        <x:f>IF(AH107="","",IF(AH107&gt;=85,"Excelente",IF(AH107&gt;=70,"Adequado",IF(AH107&gt;=50,"Atenção","Crítico"))))</x:f>
      </x:c>
    </x:row>
    <x:row r="108">
      <x:c r="A108" s="33"/>
      <x:c r="B108" s="33"/>
      <x:c r="C108" s="33"/>
      <x:c r="D108" s="33"/>
      <x:c r="E108" s="36"/>
      <x:c r="F108" s="36"/>
      <x:c r="G108" s="33"/>
      <x:c r="H108" s="33"/>
      <x:c r="I108" s="33"/>
      <x:c r="J108" s="33"/>
      <x:c r="K108" s="33"/>
      <x:c r="L108" s="33"/>
      <x:c r="M108" s="33"/>
      <x:c r="N108" s="37"/>
      <x:c r="O108" s="33"/>
      <x:c r="P108" s="33"/>
      <x:c r="Q108" s="33"/>
      <x:c r="R108" s="37"/>
      <x:c r="S108" s="33"/>
      <x:c r="T108" s="33"/>
      <x:c r="U108" s="33"/>
      <x:c r="V108" s="38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5" t="str">
        <x:f>IF(COUNTA(X108:AA108)&lt;4,"",ROUND((X108*20)*45%+(((Y108-1)/4*100)*30%+((Z108-1)/4*100)*25%+(1-(AA108-1)/4)*100*25%+(1-(MAX(1,AC108:AE108)-1)/4)*100*20%)*55%,0))</x:f>
      </x:c>
      <x:c r="AI108" s="35" t="str">
        <x:f>IF(AH108="","",IF(AH108&gt;=85,"Excelente",IF(AH108&gt;=70,"Adequado",IF(AH108&gt;=50,"Atenção","Crítico"))))</x:f>
      </x:c>
    </x:row>
    <x:row r="109">
      <x:c r="A109" s="33"/>
      <x:c r="B109" s="33"/>
      <x:c r="C109" s="33"/>
      <x:c r="D109" s="33"/>
      <x:c r="E109" s="36"/>
      <x:c r="F109" s="36"/>
      <x:c r="G109" s="33"/>
      <x:c r="H109" s="33"/>
      <x:c r="I109" s="33"/>
      <x:c r="J109" s="33"/>
      <x:c r="K109" s="33"/>
      <x:c r="L109" s="33"/>
      <x:c r="M109" s="33"/>
      <x:c r="N109" s="37"/>
      <x:c r="O109" s="33"/>
      <x:c r="P109" s="33"/>
      <x:c r="Q109" s="33"/>
      <x:c r="R109" s="37"/>
      <x:c r="S109" s="33"/>
      <x:c r="T109" s="33"/>
      <x:c r="U109" s="33"/>
      <x:c r="V109" s="38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5" t="str">
        <x:f>IF(COUNTA(X109:AA109)&lt;4,"",ROUND((X109*20)*45%+(((Y109-1)/4*100)*30%+((Z109-1)/4*100)*25%+(1-(AA109-1)/4)*100*25%+(1-(MAX(1,AC109:AE109)-1)/4)*100*20%)*55%,0))</x:f>
      </x:c>
      <x:c r="AI109" s="35" t="str">
        <x:f>IF(AH109="","",IF(AH109&gt;=85,"Excelente",IF(AH109&gt;=70,"Adequado",IF(AH109&gt;=50,"Atenção","Crítico"))))</x:f>
      </x:c>
    </x:row>
    <x:row r="110">
      <x:c r="A110" s="33"/>
      <x:c r="B110" s="33"/>
      <x:c r="C110" s="33"/>
      <x:c r="D110" s="33"/>
      <x:c r="E110" s="36"/>
      <x:c r="F110" s="36"/>
      <x:c r="G110" s="33"/>
      <x:c r="H110" s="33"/>
      <x:c r="I110" s="33"/>
      <x:c r="J110" s="33"/>
      <x:c r="K110" s="33"/>
      <x:c r="L110" s="33"/>
      <x:c r="M110" s="33"/>
      <x:c r="N110" s="37"/>
      <x:c r="O110" s="33"/>
      <x:c r="P110" s="33"/>
      <x:c r="Q110" s="33"/>
      <x:c r="R110" s="37"/>
      <x:c r="S110" s="33"/>
      <x:c r="T110" s="33"/>
      <x:c r="U110" s="33"/>
      <x:c r="V110" s="38"/>
      <x:c r="W110" s="34"/>
      <x:c r="X110" s="34"/>
      <x:c r="Y110" s="34"/>
      <x:c r="Z110" s="34"/>
      <x:c r="AA110" s="34"/>
      <x:c r="AB110" s="34"/>
      <x:c r="AC110" s="34"/>
      <x:c r="AD110" s="34"/>
      <x:c r="AE110" s="34"/>
      <x:c r="AF110" s="34"/>
      <x:c r="AG110" s="34"/>
      <x:c r="AH110" s="35" t="str">
        <x:f>IF(COUNTA(X110:AA110)&lt;4,"",ROUND((X110*20)*45%+(((Y110-1)/4*100)*30%+((Z110-1)/4*100)*25%+(1-(AA110-1)/4)*100*25%+(1-(MAX(1,AC110:AE110)-1)/4)*100*20%)*55%,0))</x:f>
      </x:c>
      <x:c r="AI110" s="35" t="str">
        <x:f>IF(AH110="","",IF(AH110&gt;=85,"Excelente",IF(AH110&gt;=70,"Adequado",IF(AH110&gt;=50,"Atenção","Crítico"))))</x:f>
      </x:c>
    </x:row>
    <x:row r="111">
      <x:c r="A111" s="33"/>
      <x:c r="B111" s="33"/>
      <x:c r="C111" s="33"/>
      <x:c r="D111" s="33"/>
      <x:c r="E111" s="36"/>
      <x:c r="F111" s="36"/>
      <x:c r="G111" s="33"/>
      <x:c r="H111" s="33"/>
      <x:c r="I111" s="33"/>
      <x:c r="J111" s="33"/>
      <x:c r="K111" s="33"/>
      <x:c r="L111" s="33"/>
      <x:c r="M111" s="33"/>
      <x:c r="N111" s="37"/>
      <x:c r="O111" s="33"/>
      <x:c r="P111" s="33"/>
      <x:c r="Q111" s="33"/>
      <x:c r="R111" s="37"/>
      <x:c r="S111" s="33"/>
      <x:c r="T111" s="33"/>
      <x:c r="U111" s="33"/>
      <x:c r="V111" s="38"/>
      <x:c r="W111" s="34"/>
      <x:c r="X111" s="34"/>
      <x:c r="Y111" s="34"/>
      <x:c r="Z111" s="34"/>
      <x:c r="AA111" s="34"/>
      <x:c r="AB111" s="34"/>
      <x:c r="AC111" s="34"/>
      <x:c r="AD111" s="34"/>
      <x:c r="AE111" s="34"/>
      <x:c r="AF111" s="34"/>
      <x:c r="AG111" s="34"/>
      <x:c r="AH111" s="35" t="str">
        <x:f>IF(COUNTA(X111:AA111)&lt;4,"",ROUND((X111*20)*45%+(((Y111-1)/4*100)*30%+((Z111-1)/4*100)*25%+(1-(AA111-1)/4)*100*25%+(1-(MAX(1,AC111:AE111)-1)/4)*100*20%)*55%,0))</x:f>
      </x:c>
      <x:c r="AI111" s="35" t="str">
        <x:f>IF(AH111="","",IF(AH111&gt;=85,"Excelente",IF(AH111&gt;=70,"Adequado",IF(AH111&gt;=50,"Atenção","Crítico"))))</x:f>
      </x:c>
    </x:row>
    <x:row r="112">
      <x:c r="A112" s="33"/>
      <x:c r="B112" s="33"/>
      <x:c r="C112" s="33"/>
      <x:c r="D112" s="33"/>
      <x:c r="E112" s="36"/>
      <x:c r="F112" s="36"/>
      <x:c r="G112" s="33"/>
      <x:c r="H112" s="33"/>
      <x:c r="I112" s="33"/>
      <x:c r="J112" s="33"/>
      <x:c r="K112" s="33"/>
      <x:c r="L112" s="33"/>
      <x:c r="M112" s="33"/>
      <x:c r="N112" s="37"/>
      <x:c r="O112" s="33"/>
      <x:c r="P112" s="33"/>
      <x:c r="Q112" s="33"/>
      <x:c r="R112" s="37"/>
      <x:c r="S112" s="33"/>
      <x:c r="T112" s="33"/>
      <x:c r="U112" s="33"/>
      <x:c r="V112" s="38"/>
      <x:c r="W112" s="34"/>
      <x:c r="X112" s="34"/>
      <x:c r="Y112" s="34"/>
      <x:c r="Z112" s="34"/>
      <x:c r="AA112" s="34"/>
      <x:c r="AB112" s="34"/>
      <x:c r="AC112" s="34"/>
      <x:c r="AD112" s="34"/>
      <x:c r="AE112" s="34"/>
      <x:c r="AF112" s="34"/>
      <x:c r="AG112" s="34"/>
      <x:c r="AH112" s="35" t="str">
        <x:f>IF(COUNTA(X112:AA112)&lt;4,"",ROUND((X112*20)*45%+(((Y112-1)/4*100)*30%+((Z112-1)/4*100)*25%+(1-(AA112-1)/4)*100*25%+(1-(MAX(1,AC112:AE112)-1)/4)*100*20%)*55%,0))</x:f>
      </x:c>
      <x:c r="AI112" s="35" t="str">
        <x:f>IF(AH112="","",IF(AH112&gt;=85,"Excelente",IF(AH112&gt;=70,"Adequado",IF(AH112&gt;=50,"Atenção","Crítico"))))</x:f>
      </x:c>
    </x:row>
    <x:row r="113">
      <x:c r="A113" s="33"/>
      <x:c r="B113" s="33"/>
      <x:c r="C113" s="33"/>
      <x:c r="D113" s="33"/>
      <x:c r="E113" s="36"/>
      <x:c r="F113" s="36"/>
      <x:c r="G113" s="33"/>
      <x:c r="H113" s="33"/>
      <x:c r="I113" s="33"/>
      <x:c r="J113" s="33"/>
      <x:c r="K113" s="33"/>
      <x:c r="L113" s="33"/>
      <x:c r="M113" s="33"/>
      <x:c r="N113" s="37"/>
      <x:c r="O113" s="33"/>
      <x:c r="P113" s="33"/>
      <x:c r="Q113" s="33"/>
      <x:c r="R113" s="37"/>
      <x:c r="S113" s="33"/>
      <x:c r="T113" s="33"/>
      <x:c r="U113" s="33"/>
      <x:c r="V113" s="38"/>
      <x:c r="W113" s="34"/>
      <x:c r="X113" s="34"/>
      <x:c r="Y113" s="34"/>
      <x:c r="Z113" s="34"/>
      <x:c r="AA113" s="34"/>
      <x:c r="AB113" s="34"/>
      <x:c r="AC113" s="34"/>
      <x:c r="AD113" s="34"/>
      <x:c r="AE113" s="34"/>
      <x:c r="AF113" s="34"/>
      <x:c r="AG113" s="34"/>
      <x:c r="AH113" s="35" t="str">
        <x:f>IF(COUNTA(X113:AA113)&lt;4,"",ROUND((X113*20)*45%+(((Y113-1)/4*100)*30%+((Z113-1)/4*100)*25%+(1-(AA113-1)/4)*100*25%+(1-(MAX(1,AC113:AE113)-1)/4)*100*20%)*55%,0))</x:f>
      </x:c>
      <x:c r="AI113" s="35" t="str">
        <x:f>IF(AH113="","",IF(AH113&gt;=85,"Excelente",IF(AH113&gt;=70,"Adequado",IF(AH113&gt;=50,"Atenção","Crítico"))))</x:f>
      </x:c>
    </x:row>
    <x:row r="114">
      <x:c r="A114" s="33"/>
      <x:c r="B114" s="33"/>
      <x:c r="C114" s="33"/>
      <x:c r="D114" s="33"/>
      <x:c r="E114" s="36"/>
      <x:c r="F114" s="36"/>
      <x:c r="G114" s="33"/>
      <x:c r="H114" s="33"/>
      <x:c r="I114" s="33"/>
      <x:c r="J114" s="33"/>
      <x:c r="K114" s="33"/>
      <x:c r="L114" s="33"/>
      <x:c r="M114" s="33"/>
      <x:c r="N114" s="37"/>
      <x:c r="O114" s="33"/>
      <x:c r="P114" s="33"/>
      <x:c r="Q114" s="33"/>
      <x:c r="R114" s="37"/>
      <x:c r="S114" s="33"/>
      <x:c r="T114" s="33"/>
      <x:c r="U114" s="33"/>
      <x:c r="V114" s="38"/>
      <x:c r="W114" s="34"/>
      <x:c r="X114" s="34"/>
      <x:c r="Y114" s="34"/>
      <x:c r="Z114" s="34"/>
      <x:c r="AA114" s="34"/>
      <x:c r="AB114" s="34"/>
      <x:c r="AC114" s="34"/>
      <x:c r="AD114" s="34"/>
      <x:c r="AE114" s="34"/>
      <x:c r="AF114" s="34"/>
      <x:c r="AG114" s="34"/>
      <x:c r="AH114" s="35" t="str">
        <x:f>IF(COUNTA(X114:AA114)&lt;4,"",ROUND((X114*20)*45%+(((Y114-1)/4*100)*30%+((Z114-1)/4*100)*25%+(1-(AA114-1)/4)*100*25%+(1-(MAX(1,AC114:AE114)-1)/4)*100*20%)*55%,0))</x:f>
      </x:c>
      <x:c r="AI114" s="35" t="str">
        <x:f>IF(AH114="","",IF(AH114&gt;=85,"Excelente",IF(AH114&gt;=70,"Adequado",IF(AH114&gt;=50,"Atenção","Crítico"))))</x:f>
      </x:c>
    </x:row>
    <x:row r="115">
      <x:c r="A115" s="33"/>
      <x:c r="B115" s="33"/>
      <x:c r="C115" s="33"/>
      <x:c r="D115" s="33"/>
      <x:c r="E115" s="36"/>
      <x:c r="F115" s="36"/>
      <x:c r="G115" s="33"/>
      <x:c r="H115" s="33"/>
      <x:c r="I115" s="33"/>
      <x:c r="J115" s="33"/>
      <x:c r="K115" s="33"/>
      <x:c r="L115" s="33"/>
      <x:c r="M115" s="33"/>
      <x:c r="N115" s="37"/>
      <x:c r="O115" s="33"/>
      <x:c r="P115" s="33"/>
      <x:c r="Q115" s="33"/>
      <x:c r="R115" s="37"/>
      <x:c r="S115" s="33"/>
      <x:c r="T115" s="33"/>
      <x:c r="U115" s="33"/>
      <x:c r="V115" s="38"/>
      <x:c r="W115" s="34"/>
      <x:c r="X115" s="34"/>
      <x:c r="Y115" s="34"/>
      <x:c r="Z115" s="34"/>
      <x:c r="AA115" s="34"/>
      <x:c r="AB115" s="34"/>
      <x:c r="AC115" s="34"/>
      <x:c r="AD115" s="34"/>
      <x:c r="AE115" s="34"/>
      <x:c r="AF115" s="34"/>
      <x:c r="AG115" s="34"/>
      <x:c r="AH115" s="35" t="str">
        <x:f>IF(COUNTA(X115:AA115)&lt;4,"",ROUND((X115*20)*45%+(((Y115-1)/4*100)*30%+((Z115-1)/4*100)*25%+(1-(AA115-1)/4)*100*25%+(1-(MAX(1,AC115:AE115)-1)/4)*100*20%)*55%,0))</x:f>
      </x:c>
      <x:c r="AI115" s="35" t="str">
        <x:f>IF(AH115="","",IF(AH115&gt;=85,"Excelente",IF(AH115&gt;=70,"Adequado",IF(AH115&gt;=50,"Atenção","Crítico"))))</x:f>
      </x:c>
    </x:row>
    <x:row r="116">
      <x:c r="A116" s="33"/>
      <x:c r="B116" s="33"/>
      <x:c r="C116" s="33"/>
      <x:c r="D116" s="33"/>
      <x:c r="E116" s="36"/>
      <x:c r="F116" s="36"/>
      <x:c r="G116" s="33"/>
      <x:c r="H116" s="33"/>
      <x:c r="I116" s="33"/>
      <x:c r="J116" s="33"/>
      <x:c r="K116" s="33"/>
      <x:c r="L116" s="33"/>
      <x:c r="M116" s="33"/>
      <x:c r="N116" s="37"/>
      <x:c r="O116" s="33"/>
      <x:c r="P116" s="33"/>
      <x:c r="Q116" s="33"/>
      <x:c r="R116" s="37"/>
      <x:c r="S116" s="33"/>
      <x:c r="T116" s="33"/>
      <x:c r="U116" s="33"/>
      <x:c r="V116" s="38"/>
      <x:c r="W116" s="34"/>
      <x:c r="X116" s="34"/>
      <x:c r="Y116" s="34"/>
      <x:c r="Z116" s="34"/>
      <x:c r="AA116" s="34"/>
      <x:c r="AB116" s="34"/>
      <x:c r="AC116" s="34"/>
      <x:c r="AD116" s="34"/>
      <x:c r="AE116" s="34"/>
      <x:c r="AF116" s="34"/>
      <x:c r="AG116" s="34"/>
      <x:c r="AH116" s="35" t="str">
        <x:f>IF(COUNTA(X116:AA116)&lt;4,"",ROUND((X116*20)*45%+(((Y116-1)/4*100)*30%+((Z116-1)/4*100)*25%+(1-(AA116-1)/4)*100*25%+(1-(MAX(1,AC116:AE116)-1)/4)*100*20%)*55%,0))</x:f>
      </x:c>
      <x:c r="AI116" s="35" t="str">
        <x:f>IF(AH116="","",IF(AH116&gt;=85,"Excelente",IF(AH116&gt;=70,"Adequado",IF(AH116&gt;=50,"Atenção","Crítico"))))</x:f>
      </x:c>
    </x:row>
    <x:row r="117">
      <x:c r="A117" s="33"/>
      <x:c r="B117" s="33"/>
      <x:c r="C117" s="33"/>
      <x:c r="D117" s="33"/>
      <x:c r="E117" s="36"/>
      <x:c r="F117" s="36"/>
      <x:c r="G117" s="33"/>
      <x:c r="H117" s="33"/>
      <x:c r="I117" s="33"/>
      <x:c r="J117" s="33"/>
      <x:c r="K117" s="33"/>
      <x:c r="L117" s="33"/>
      <x:c r="M117" s="33"/>
      <x:c r="N117" s="37"/>
      <x:c r="O117" s="33"/>
      <x:c r="P117" s="33"/>
      <x:c r="Q117" s="33"/>
      <x:c r="R117" s="37"/>
      <x:c r="S117" s="33"/>
      <x:c r="T117" s="33"/>
      <x:c r="U117" s="33"/>
      <x:c r="V117" s="38"/>
      <x:c r="W117" s="34"/>
      <x:c r="X117" s="34"/>
      <x:c r="Y117" s="34"/>
      <x:c r="Z117" s="34"/>
      <x:c r="AA117" s="34"/>
      <x:c r="AB117" s="34"/>
      <x:c r="AC117" s="34"/>
      <x:c r="AD117" s="34"/>
      <x:c r="AE117" s="34"/>
      <x:c r="AF117" s="34"/>
      <x:c r="AG117" s="34"/>
      <x:c r="AH117" s="35" t="str">
        <x:f>IF(COUNTA(X117:AA117)&lt;4,"",ROUND((X117*20)*45%+(((Y117-1)/4*100)*30%+((Z117-1)/4*100)*25%+(1-(AA117-1)/4)*100*25%+(1-(MAX(1,AC117:AE117)-1)/4)*100*20%)*55%,0))</x:f>
      </x:c>
      <x:c r="AI117" s="35" t="str">
        <x:f>IF(AH117="","",IF(AH117&gt;=85,"Excelente",IF(AH117&gt;=70,"Adequado",IF(AH117&gt;=50,"Atenção","Crítico"))))</x:f>
      </x:c>
    </x:row>
    <x:row r="118">
      <x:c r="A118" s="33"/>
      <x:c r="B118" s="33"/>
      <x:c r="C118" s="33"/>
      <x:c r="D118" s="33"/>
      <x:c r="E118" s="36"/>
      <x:c r="F118" s="36"/>
      <x:c r="G118" s="33"/>
      <x:c r="H118" s="33"/>
      <x:c r="I118" s="33"/>
      <x:c r="J118" s="33"/>
      <x:c r="K118" s="33"/>
      <x:c r="L118" s="33"/>
      <x:c r="M118" s="33"/>
      <x:c r="N118" s="37"/>
      <x:c r="O118" s="33"/>
      <x:c r="P118" s="33"/>
      <x:c r="Q118" s="33"/>
      <x:c r="R118" s="37"/>
      <x:c r="S118" s="33"/>
      <x:c r="T118" s="33"/>
      <x:c r="U118" s="33"/>
      <x:c r="V118" s="38"/>
      <x:c r="W118" s="34"/>
      <x:c r="X118" s="34"/>
      <x:c r="Y118" s="34"/>
      <x:c r="Z118" s="34"/>
      <x:c r="AA118" s="34"/>
      <x:c r="AB118" s="34"/>
      <x:c r="AC118" s="34"/>
      <x:c r="AD118" s="34"/>
      <x:c r="AE118" s="34"/>
      <x:c r="AF118" s="34"/>
      <x:c r="AG118" s="34"/>
      <x:c r="AH118" s="35" t="str">
        <x:f>IF(COUNTA(X118:AA118)&lt;4,"",ROUND((X118*20)*45%+(((Y118-1)/4*100)*30%+((Z118-1)/4*100)*25%+(1-(AA118-1)/4)*100*25%+(1-(MAX(1,AC118:AE118)-1)/4)*100*20%)*55%,0))</x:f>
      </x:c>
      <x:c r="AI118" s="35" t="str">
        <x:f>IF(AH118="","",IF(AH118&gt;=85,"Excelente",IF(AH118&gt;=70,"Adequado",IF(AH118&gt;=50,"Atenção","Crítico"))))</x:f>
      </x:c>
    </x:row>
    <x:row r="119">
      <x:c r="A119" s="33"/>
      <x:c r="B119" s="33"/>
      <x:c r="C119" s="33"/>
      <x:c r="D119" s="33"/>
      <x:c r="E119" s="36"/>
      <x:c r="F119" s="36"/>
      <x:c r="G119" s="33"/>
      <x:c r="H119" s="33"/>
      <x:c r="I119" s="33"/>
      <x:c r="J119" s="33"/>
      <x:c r="K119" s="33"/>
      <x:c r="L119" s="33"/>
      <x:c r="M119" s="33"/>
      <x:c r="N119" s="37"/>
      <x:c r="O119" s="33"/>
      <x:c r="P119" s="33"/>
      <x:c r="Q119" s="33"/>
      <x:c r="R119" s="37"/>
      <x:c r="S119" s="33"/>
      <x:c r="T119" s="33"/>
      <x:c r="U119" s="33"/>
      <x:c r="V119" s="38"/>
      <x:c r="W119" s="34"/>
      <x:c r="X119" s="34"/>
      <x:c r="Y119" s="34"/>
      <x:c r="Z119" s="34"/>
      <x:c r="AA119" s="34"/>
      <x:c r="AB119" s="34"/>
      <x:c r="AC119" s="34"/>
      <x:c r="AD119" s="34"/>
      <x:c r="AE119" s="34"/>
      <x:c r="AF119" s="34"/>
      <x:c r="AG119" s="34"/>
      <x:c r="AH119" s="35" t="str">
        <x:f>IF(COUNTA(X119:AA119)&lt;4,"",ROUND((X119*20)*45%+(((Y119-1)/4*100)*30%+((Z119-1)/4*100)*25%+(1-(AA119-1)/4)*100*25%+(1-(MAX(1,AC119:AE119)-1)/4)*100*20%)*55%,0))</x:f>
      </x:c>
      <x:c r="AI119" s="35" t="str">
        <x:f>IF(AH119="","",IF(AH119&gt;=85,"Excelente",IF(AH119&gt;=70,"Adequado",IF(AH119&gt;=50,"Atenção","Crítico"))))</x:f>
      </x:c>
    </x:row>
    <x:row r="120">
      <x:c r="A120" s="33"/>
      <x:c r="B120" s="33"/>
      <x:c r="C120" s="33"/>
      <x:c r="D120" s="33"/>
      <x:c r="E120" s="36"/>
      <x:c r="F120" s="36"/>
      <x:c r="G120" s="33"/>
      <x:c r="H120" s="33"/>
      <x:c r="I120" s="33"/>
      <x:c r="J120" s="33"/>
      <x:c r="K120" s="33"/>
      <x:c r="L120" s="33"/>
      <x:c r="M120" s="33"/>
      <x:c r="N120" s="37"/>
      <x:c r="O120" s="33"/>
      <x:c r="P120" s="33"/>
      <x:c r="Q120" s="33"/>
      <x:c r="R120" s="37"/>
      <x:c r="S120" s="33"/>
      <x:c r="T120" s="33"/>
      <x:c r="U120" s="33"/>
      <x:c r="V120" s="38"/>
      <x:c r="W120" s="34"/>
      <x:c r="X120" s="34"/>
      <x:c r="Y120" s="34"/>
      <x:c r="Z120" s="34"/>
      <x:c r="AA120" s="34"/>
      <x:c r="AB120" s="34"/>
      <x:c r="AC120" s="34"/>
      <x:c r="AD120" s="34"/>
      <x:c r="AE120" s="34"/>
      <x:c r="AF120" s="34"/>
      <x:c r="AG120" s="34"/>
      <x:c r="AH120" s="35" t="str">
        <x:f>IF(COUNTA(X120:AA120)&lt;4,"",ROUND((X120*20)*45%+(((Y120-1)/4*100)*30%+((Z120-1)/4*100)*25%+(1-(AA120-1)/4)*100*25%+(1-(MAX(1,AC120:AE120)-1)/4)*100*20%)*55%,0))</x:f>
      </x:c>
      <x:c r="AI120" s="35" t="str">
        <x:f>IF(AH120="","",IF(AH120&gt;=85,"Excelente",IF(AH120&gt;=70,"Adequado",IF(AH120&gt;=50,"Atenção","Crítico"))))</x:f>
      </x:c>
    </x:row>
    <x:row r="121">
      <x:c r="A121" s="33"/>
      <x:c r="B121" s="33"/>
      <x:c r="C121" s="33"/>
      <x:c r="D121" s="33"/>
      <x:c r="E121" s="36"/>
      <x:c r="F121" s="36"/>
      <x:c r="G121" s="33"/>
      <x:c r="H121" s="33"/>
      <x:c r="I121" s="33"/>
      <x:c r="J121" s="33"/>
      <x:c r="K121" s="33"/>
      <x:c r="L121" s="33"/>
      <x:c r="M121" s="33"/>
      <x:c r="N121" s="37"/>
      <x:c r="O121" s="33"/>
      <x:c r="P121" s="33"/>
      <x:c r="Q121" s="33"/>
      <x:c r="R121" s="37"/>
      <x:c r="S121" s="33"/>
      <x:c r="T121" s="33"/>
      <x:c r="U121" s="33"/>
      <x:c r="V121" s="38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5" t="str">
        <x:f>IF(COUNTA(X121:AA121)&lt;4,"",ROUND((X121*20)*45%+(((Y121-1)/4*100)*30%+((Z121-1)/4*100)*25%+(1-(AA121-1)/4)*100*25%+(1-(MAX(1,AC121:AE121)-1)/4)*100*20%)*55%,0))</x:f>
      </x:c>
      <x:c r="AI121" s="35" t="str">
        <x:f>IF(AH121="","",IF(AH121&gt;=85,"Excelente",IF(AH121&gt;=70,"Adequado",IF(AH121&gt;=50,"Atenção","Crítico"))))</x:f>
      </x:c>
    </x:row>
    <x:row r="122">
      <x:c r="A122" s="33"/>
      <x:c r="B122" s="33"/>
      <x:c r="C122" s="33"/>
      <x:c r="D122" s="33"/>
      <x:c r="E122" s="36"/>
      <x:c r="F122" s="36"/>
      <x:c r="G122" s="33"/>
      <x:c r="H122" s="33"/>
      <x:c r="I122" s="33"/>
      <x:c r="J122" s="33"/>
      <x:c r="K122" s="33"/>
      <x:c r="L122" s="33"/>
      <x:c r="M122" s="33"/>
      <x:c r="N122" s="37"/>
      <x:c r="O122" s="33"/>
      <x:c r="P122" s="33"/>
      <x:c r="Q122" s="33"/>
      <x:c r="R122" s="37"/>
      <x:c r="S122" s="33"/>
      <x:c r="T122" s="33"/>
      <x:c r="U122" s="33"/>
      <x:c r="V122" s="38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5" t="str">
        <x:f>IF(COUNTA(X122:AA122)&lt;4,"",ROUND((X122*20)*45%+(((Y122-1)/4*100)*30%+((Z122-1)/4*100)*25%+(1-(AA122-1)/4)*100*25%+(1-(MAX(1,AC122:AE122)-1)/4)*100*20%)*55%,0))</x:f>
      </x:c>
      <x:c r="AI122" s="35" t="str">
        <x:f>IF(AH122="","",IF(AH122&gt;=85,"Excelente",IF(AH122&gt;=70,"Adequado",IF(AH122&gt;=50,"Atenção","Crítico"))))</x:f>
      </x:c>
    </x:row>
    <x:row r="123">
      <x:c r="A123" s="33"/>
      <x:c r="B123" s="33"/>
      <x:c r="C123" s="33"/>
      <x:c r="D123" s="33"/>
      <x:c r="E123" s="36"/>
      <x:c r="F123" s="36"/>
      <x:c r="G123" s="33"/>
      <x:c r="H123" s="33"/>
      <x:c r="I123" s="33"/>
      <x:c r="J123" s="33"/>
      <x:c r="K123" s="33"/>
      <x:c r="L123" s="33"/>
      <x:c r="M123" s="33"/>
      <x:c r="N123" s="37"/>
      <x:c r="O123" s="33"/>
      <x:c r="P123" s="33"/>
      <x:c r="Q123" s="33"/>
      <x:c r="R123" s="37"/>
      <x:c r="S123" s="33"/>
      <x:c r="T123" s="33"/>
      <x:c r="U123" s="33"/>
      <x:c r="V123" s="38"/>
      <x:c r="W123" s="34"/>
      <x:c r="X123" s="34"/>
      <x:c r="Y123" s="34"/>
      <x:c r="Z123" s="34"/>
      <x:c r="AA123" s="34"/>
      <x:c r="AB123" s="34"/>
      <x:c r="AC123" s="34"/>
      <x:c r="AD123" s="34"/>
      <x:c r="AE123" s="34"/>
      <x:c r="AF123" s="34"/>
      <x:c r="AG123" s="34"/>
      <x:c r="AH123" s="35" t="str">
        <x:f>IF(COUNTA(X123:AA123)&lt;4,"",ROUND((X123*20)*45%+(((Y123-1)/4*100)*30%+((Z123-1)/4*100)*25%+(1-(AA123-1)/4)*100*25%+(1-(MAX(1,AC123:AE123)-1)/4)*100*20%)*55%,0))</x:f>
      </x:c>
      <x:c r="AI123" s="35" t="str">
        <x:f>IF(AH123="","",IF(AH123&gt;=85,"Excelente",IF(AH123&gt;=70,"Adequado",IF(AH123&gt;=50,"Atenção","Crítico"))))</x:f>
      </x:c>
    </x:row>
    <x:row r="124">
      <x:c r="A124" s="33"/>
      <x:c r="B124" s="33"/>
      <x:c r="C124" s="33"/>
      <x:c r="D124" s="33"/>
      <x:c r="E124" s="36"/>
      <x:c r="F124" s="36"/>
      <x:c r="G124" s="33"/>
      <x:c r="H124" s="33"/>
      <x:c r="I124" s="33"/>
      <x:c r="J124" s="33"/>
      <x:c r="K124" s="33"/>
      <x:c r="L124" s="33"/>
      <x:c r="M124" s="33"/>
      <x:c r="N124" s="37"/>
      <x:c r="O124" s="33"/>
      <x:c r="P124" s="33"/>
      <x:c r="Q124" s="33"/>
      <x:c r="R124" s="37"/>
      <x:c r="S124" s="33"/>
      <x:c r="T124" s="33"/>
      <x:c r="U124" s="33"/>
      <x:c r="V124" s="38"/>
      <x:c r="W124" s="34"/>
      <x:c r="X124" s="34"/>
      <x:c r="Y124" s="34"/>
      <x:c r="Z124" s="34"/>
      <x:c r="AA124" s="34"/>
      <x:c r="AB124" s="34"/>
      <x:c r="AC124" s="34"/>
      <x:c r="AD124" s="34"/>
      <x:c r="AE124" s="34"/>
      <x:c r="AF124" s="34"/>
      <x:c r="AG124" s="34"/>
      <x:c r="AH124" s="35" t="str">
        <x:f>IF(COUNTA(X124:AA124)&lt;4,"",ROUND((X124*20)*45%+(((Y124-1)/4*100)*30%+((Z124-1)/4*100)*25%+(1-(AA124-1)/4)*100*25%+(1-(MAX(1,AC124:AE124)-1)/4)*100*20%)*55%,0))</x:f>
      </x:c>
      <x:c r="AI124" s="35" t="str">
        <x:f>IF(AH124="","",IF(AH124&gt;=85,"Excelente",IF(AH124&gt;=70,"Adequado",IF(AH124&gt;=50,"Atenção","Crítico"))))</x:f>
      </x:c>
    </x:row>
    <x:row r="125">
      <x:c r="A125" s="33"/>
      <x:c r="B125" s="33"/>
      <x:c r="C125" s="33"/>
      <x:c r="D125" s="33"/>
      <x:c r="E125" s="36"/>
      <x:c r="F125" s="36"/>
      <x:c r="G125" s="33"/>
      <x:c r="H125" s="33"/>
      <x:c r="I125" s="33"/>
      <x:c r="J125" s="33"/>
      <x:c r="K125" s="33"/>
      <x:c r="L125" s="33"/>
      <x:c r="M125" s="33"/>
      <x:c r="N125" s="37"/>
      <x:c r="O125" s="33"/>
      <x:c r="P125" s="33"/>
      <x:c r="Q125" s="33"/>
      <x:c r="R125" s="37"/>
      <x:c r="S125" s="33"/>
      <x:c r="T125" s="33"/>
      <x:c r="U125" s="33"/>
      <x:c r="V125" s="38"/>
      <x:c r="W125" s="34"/>
      <x:c r="X125" s="34"/>
      <x:c r="Y125" s="34"/>
      <x:c r="Z125" s="34"/>
      <x:c r="AA125" s="34"/>
      <x:c r="AB125" s="34"/>
      <x:c r="AC125" s="34"/>
      <x:c r="AD125" s="34"/>
      <x:c r="AE125" s="34"/>
      <x:c r="AF125" s="34"/>
      <x:c r="AG125" s="34"/>
      <x:c r="AH125" s="35" t="str">
        <x:f>IF(COUNTA(X125:AA125)&lt;4,"",ROUND((X125*20)*45%+(((Y125-1)/4*100)*30%+((Z125-1)/4*100)*25%+(1-(AA125-1)/4)*100*25%+(1-(MAX(1,AC125:AE125)-1)/4)*100*20%)*55%,0))</x:f>
      </x:c>
      <x:c r="AI125" s="35" t="str">
        <x:f>IF(AH125="","",IF(AH125&gt;=85,"Excelente",IF(AH125&gt;=70,"Adequado",IF(AH125&gt;=50,"Atenção","Crítico"))))</x:f>
      </x:c>
    </x:row>
    <x:row r="126">
      <x:c r="A126" s="33"/>
      <x:c r="B126" s="33"/>
      <x:c r="C126" s="33"/>
      <x:c r="D126" s="33"/>
      <x:c r="E126" s="36"/>
      <x:c r="F126" s="36"/>
      <x:c r="G126" s="33"/>
      <x:c r="H126" s="33"/>
      <x:c r="I126" s="33"/>
      <x:c r="J126" s="33"/>
      <x:c r="K126" s="33"/>
      <x:c r="L126" s="33"/>
      <x:c r="M126" s="33"/>
      <x:c r="N126" s="37"/>
      <x:c r="O126" s="33"/>
      <x:c r="P126" s="33"/>
      <x:c r="Q126" s="33"/>
      <x:c r="R126" s="37"/>
      <x:c r="S126" s="33"/>
      <x:c r="T126" s="33"/>
      <x:c r="U126" s="33"/>
      <x:c r="V126" s="38"/>
      <x:c r="W126" s="34"/>
      <x:c r="X126" s="34"/>
      <x:c r="Y126" s="34"/>
      <x:c r="Z126" s="34"/>
      <x:c r="AA126" s="34"/>
      <x:c r="AB126" s="34"/>
      <x:c r="AC126" s="34"/>
      <x:c r="AD126" s="34"/>
      <x:c r="AE126" s="34"/>
      <x:c r="AF126" s="34"/>
      <x:c r="AG126" s="34"/>
      <x:c r="AH126" s="35" t="str">
        <x:f>IF(COUNTA(X126:AA126)&lt;4,"",ROUND((X126*20)*45%+(((Y126-1)/4*100)*30%+((Z126-1)/4*100)*25%+(1-(AA126-1)/4)*100*25%+(1-(MAX(1,AC126:AE126)-1)/4)*100*20%)*55%,0))</x:f>
      </x:c>
      <x:c r="AI126" s="35" t="str">
        <x:f>IF(AH126="","",IF(AH126&gt;=85,"Excelente",IF(AH126&gt;=70,"Adequado",IF(AH126&gt;=50,"Atenção","Crítico"))))</x:f>
      </x:c>
    </x:row>
    <x:row r="127">
      <x:c r="A127" s="33"/>
      <x:c r="B127" s="33"/>
      <x:c r="C127" s="33"/>
      <x:c r="D127" s="33"/>
      <x:c r="E127" s="36"/>
      <x:c r="F127" s="36"/>
      <x:c r="G127" s="33"/>
      <x:c r="H127" s="33"/>
      <x:c r="I127" s="33"/>
      <x:c r="J127" s="33"/>
      <x:c r="K127" s="33"/>
      <x:c r="L127" s="33"/>
      <x:c r="M127" s="33"/>
      <x:c r="N127" s="37"/>
      <x:c r="O127" s="33"/>
      <x:c r="P127" s="33"/>
      <x:c r="Q127" s="33"/>
      <x:c r="R127" s="37"/>
      <x:c r="S127" s="33"/>
      <x:c r="T127" s="33"/>
      <x:c r="U127" s="33"/>
      <x:c r="V127" s="38"/>
      <x:c r="W127" s="34"/>
      <x:c r="X127" s="34"/>
      <x:c r="Y127" s="34"/>
      <x:c r="Z127" s="34"/>
      <x:c r="AA127" s="34"/>
      <x:c r="AB127" s="34"/>
      <x:c r="AC127" s="34"/>
      <x:c r="AD127" s="34"/>
      <x:c r="AE127" s="34"/>
      <x:c r="AF127" s="34"/>
      <x:c r="AG127" s="34"/>
      <x:c r="AH127" s="35" t="str">
        <x:f>IF(COUNTA(X127:AA127)&lt;4,"",ROUND((X127*20)*45%+(((Y127-1)/4*100)*30%+((Z127-1)/4*100)*25%+(1-(AA127-1)/4)*100*25%+(1-(MAX(1,AC127:AE127)-1)/4)*100*20%)*55%,0))</x:f>
      </x:c>
      <x:c r="AI127" s="35" t="str">
        <x:f>IF(AH127="","",IF(AH127&gt;=85,"Excelente",IF(AH127&gt;=70,"Adequado",IF(AH127&gt;=50,"Atenção","Crítico"))))</x:f>
      </x:c>
    </x:row>
    <x:row r="128">
      <x:c r="A128" s="33"/>
      <x:c r="B128" s="33"/>
      <x:c r="C128" s="33"/>
      <x:c r="D128" s="33"/>
      <x:c r="E128" s="36"/>
      <x:c r="F128" s="36"/>
      <x:c r="G128" s="33"/>
      <x:c r="H128" s="33"/>
      <x:c r="I128" s="33"/>
      <x:c r="J128" s="33"/>
      <x:c r="K128" s="33"/>
      <x:c r="L128" s="33"/>
      <x:c r="M128" s="33"/>
      <x:c r="N128" s="37"/>
      <x:c r="O128" s="33"/>
      <x:c r="P128" s="33"/>
      <x:c r="Q128" s="33"/>
      <x:c r="R128" s="37"/>
      <x:c r="S128" s="33"/>
      <x:c r="T128" s="33"/>
      <x:c r="U128" s="33"/>
      <x:c r="V128" s="38"/>
      <x:c r="W128" s="34"/>
      <x:c r="X128" s="34"/>
      <x:c r="Y128" s="34"/>
      <x:c r="Z128" s="34"/>
      <x:c r="AA128" s="34"/>
      <x:c r="AB128" s="34"/>
      <x:c r="AC128" s="34"/>
      <x:c r="AD128" s="34"/>
      <x:c r="AE128" s="34"/>
      <x:c r="AF128" s="34"/>
      <x:c r="AG128" s="34"/>
      <x:c r="AH128" s="35" t="str">
        <x:f>IF(COUNTA(X128:AA128)&lt;4,"",ROUND((X128*20)*45%+(((Y128-1)/4*100)*30%+((Z128-1)/4*100)*25%+(1-(AA128-1)/4)*100*25%+(1-(MAX(1,AC128:AE128)-1)/4)*100*20%)*55%,0))</x:f>
      </x:c>
      <x:c r="AI128" s="35" t="str">
        <x:f>IF(AH128="","",IF(AH128&gt;=85,"Excelente",IF(AH128&gt;=70,"Adequado",IF(AH128&gt;=50,"Atenção","Crítico"))))</x:f>
      </x:c>
    </x:row>
    <x:row r="129">
      <x:c r="A129" s="33"/>
      <x:c r="B129" s="33"/>
      <x:c r="C129" s="33"/>
      <x:c r="D129" s="33"/>
      <x:c r="E129" s="36"/>
      <x:c r="F129" s="36"/>
      <x:c r="G129" s="33"/>
      <x:c r="H129" s="33"/>
      <x:c r="I129" s="33"/>
      <x:c r="J129" s="33"/>
      <x:c r="K129" s="33"/>
      <x:c r="L129" s="33"/>
      <x:c r="M129" s="33"/>
      <x:c r="N129" s="37"/>
      <x:c r="O129" s="33"/>
      <x:c r="P129" s="33"/>
      <x:c r="Q129" s="33"/>
      <x:c r="R129" s="37"/>
      <x:c r="S129" s="33"/>
      <x:c r="T129" s="33"/>
      <x:c r="U129" s="33"/>
      <x:c r="V129" s="38"/>
      <x:c r="W129" s="34"/>
      <x:c r="X129" s="34"/>
      <x:c r="Y129" s="34"/>
      <x:c r="Z129" s="34"/>
      <x:c r="AA129" s="34"/>
      <x:c r="AB129" s="34"/>
      <x:c r="AC129" s="34"/>
      <x:c r="AD129" s="34"/>
      <x:c r="AE129" s="34"/>
      <x:c r="AF129" s="34"/>
      <x:c r="AG129" s="34"/>
      <x:c r="AH129" s="35" t="str">
        <x:f>IF(COUNTA(X129:AA129)&lt;4,"",ROUND((X129*20)*45%+(((Y129-1)/4*100)*30%+((Z129-1)/4*100)*25%+(1-(AA129-1)/4)*100*25%+(1-(MAX(1,AC129:AE129)-1)/4)*100*20%)*55%,0))</x:f>
      </x:c>
      <x:c r="AI129" s="35" t="str">
        <x:f>IF(AH129="","",IF(AH129&gt;=85,"Excelente",IF(AH129&gt;=70,"Adequado",IF(AH129&gt;=50,"Atenção","Crítico"))))</x:f>
      </x:c>
    </x:row>
    <x:row r="130">
      <x:c r="A130" s="33"/>
      <x:c r="B130" s="33"/>
      <x:c r="C130" s="33"/>
      <x:c r="D130" s="33"/>
      <x:c r="E130" s="36"/>
      <x:c r="F130" s="36"/>
      <x:c r="G130" s="33"/>
      <x:c r="H130" s="33"/>
      <x:c r="I130" s="33"/>
      <x:c r="J130" s="33"/>
      <x:c r="K130" s="33"/>
      <x:c r="L130" s="33"/>
      <x:c r="M130" s="33"/>
      <x:c r="N130" s="37"/>
      <x:c r="O130" s="33"/>
      <x:c r="P130" s="33"/>
      <x:c r="Q130" s="33"/>
      <x:c r="R130" s="37"/>
      <x:c r="S130" s="33"/>
      <x:c r="T130" s="33"/>
      <x:c r="U130" s="33"/>
      <x:c r="V130" s="38"/>
      <x:c r="W130" s="34"/>
      <x:c r="X130" s="34"/>
      <x:c r="Y130" s="34"/>
      <x:c r="Z130" s="34"/>
      <x:c r="AA130" s="34"/>
      <x:c r="AB130" s="34"/>
      <x:c r="AC130" s="34"/>
      <x:c r="AD130" s="34"/>
      <x:c r="AE130" s="34"/>
      <x:c r="AF130" s="34"/>
      <x:c r="AG130" s="34"/>
      <x:c r="AH130" s="35" t="str">
        <x:f>IF(COUNTA(X130:AA130)&lt;4,"",ROUND((X130*20)*45%+(((Y130-1)/4*100)*30%+((Z130-1)/4*100)*25%+(1-(AA130-1)/4)*100*25%+(1-(MAX(1,AC130:AE130)-1)/4)*100*20%)*55%,0))</x:f>
      </x:c>
      <x:c r="AI130" s="35" t="str">
        <x:f>IF(AH130="","",IF(AH130&gt;=85,"Excelente",IF(AH130&gt;=70,"Adequado",IF(AH130&gt;=50,"Atenção","Crítico"))))</x:f>
      </x:c>
    </x:row>
    <x:row r="131">
      <x:c r="A131" s="33"/>
      <x:c r="B131" s="33"/>
      <x:c r="C131" s="33"/>
      <x:c r="D131" s="33"/>
      <x:c r="E131" s="36"/>
      <x:c r="F131" s="36"/>
      <x:c r="G131" s="33"/>
      <x:c r="H131" s="33"/>
      <x:c r="I131" s="33"/>
      <x:c r="J131" s="33"/>
      <x:c r="K131" s="33"/>
      <x:c r="L131" s="33"/>
      <x:c r="M131" s="33"/>
      <x:c r="N131" s="37"/>
      <x:c r="O131" s="33"/>
      <x:c r="P131" s="33"/>
      <x:c r="Q131" s="33"/>
      <x:c r="R131" s="37"/>
      <x:c r="S131" s="33"/>
      <x:c r="T131" s="33"/>
      <x:c r="U131" s="33"/>
      <x:c r="V131" s="38"/>
      <x:c r="W131" s="34"/>
      <x:c r="X131" s="34"/>
      <x:c r="Y131" s="34"/>
      <x:c r="Z131" s="34"/>
      <x:c r="AA131" s="34"/>
      <x:c r="AB131" s="34"/>
      <x:c r="AC131" s="34"/>
      <x:c r="AD131" s="34"/>
      <x:c r="AE131" s="34"/>
      <x:c r="AF131" s="34"/>
      <x:c r="AG131" s="34"/>
      <x:c r="AH131" s="35" t="str">
        <x:f>IF(COUNTA(X131:AA131)&lt;4,"",ROUND((X131*20)*45%+(((Y131-1)/4*100)*30%+((Z131-1)/4*100)*25%+(1-(AA131-1)/4)*100*25%+(1-(MAX(1,AC131:AE131)-1)/4)*100*20%)*55%,0))</x:f>
      </x:c>
      <x:c r="AI131" s="35" t="str">
        <x:f>IF(AH131="","",IF(AH131&gt;=85,"Excelente",IF(AH131&gt;=70,"Adequado",IF(AH131&gt;=50,"Atenção","Crítico"))))</x:f>
      </x:c>
    </x:row>
    <x:row r="132">
      <x:c r="A132" s="33"/>
      <x:c r="B132" s="33"/>
      <x:c r="C132" s="33"/>
      <x:c r="D132" s="33"/>
      <x:c r="E132" s="36"/>
      <x:c r="F132" s="36"/>
      <x:c r="G132" s="33"/>
      <x:c r="H132" s="33"/>
      <x:c r="I132" s="33"/>
      <x:c r="J132" s="33"/>
      <x:c r="K132" s="33"/>
      <x:c r="L132" s="33"/>
      <x:c r="M132" s="33"/>
      <x:c r="N132" s="37"/>
      <x:c r="O132" s="33"/>
      <x:c r="P132" s="33"/>
      <x:c r="Q132" s="33"/>
      <x:c r="R132" s="37"/>
      <x:c r="S132" s="33"/>
      <x:c r="T132" s="33"/>
      <x:c r="U132" s="33"/>
      <x:c r="V132" s="38"/>
      <x:c r="W132" s="34"/>
      <x:c r="X132" s="34"/>
      <x:c r="Y132" s="34"/>
      <x:c r="Z132" s="34"/>
      <x:c r="AA132" s="34"/>
      <x:c r="AB132" s="34"/>
      <x:c r="AC132" s="34"/>
      <x:c r="AD132" s="34"/>
      <x:c r="AE132" s="34"/>
      <x:c r="AF132" s="34"/>
      <x:c r="AG132" s="34"/>
      <x:c r="AH132" s="35" t="str">
        <x:f>IF(COUNTA(X132:AA132)&lt;4,"",ROUND((X132*20)*45%+(((Y132-1)/4*100)*30%+((Z132-1)/4*100)*25%+(1-(AA132-1)/4)*100*25%+(1-(MAX(1,AC132:AE132)-1)/4)*100*20%)*55%,0))</x:f>
      </x:c>
      <x:c r="AI132" s="35" t="str">
        <x:f>IF(AH132="","",IF(AH132&gt;=85,"Excelente",IF(AH132&gt;=70,"Adequado",IF(AH132&gt;=50,"Atenção","Crítico"))))</x:f>
      </x:c>
    </x:row>
    <x:row r="133">
      <x:c r="A133" s="33"/>
      <x:c r="B133" s="33"/>
      <x:c r="C133" s="33"/>
      <x:c r="D133" s="33"/>
      <x:c r="E133" s="36"/>
      <x:c r="F133" s="36"/>
      <x:c r="G133" s="33"/>
      <x:c r="H133" s="33"/>
      <x:c r="I133" s="33"/>
      <x:c r="J133" s="33"/>
      <x:c r="K133" s="33"/>
      <x:c r="L133" s="33"/>
      <x:c r="M133" s="33"/>
      <x:c r="N133" s="37"/>
      <x:c r="O133" s="33"/>
      <x:c r="P133" s="33"/>
      <x:c r="Q133" s="33"/>
      <x:c r="R133" s="37"/>
      <x:c r="S133" s="33"/>
      <x:c r="T133" s="33"/>
      <x:c r="U133" s="33"/>
      <x:c r="V133" s="38"/>
      <x:c r="W133" s="34"/>
      <x:c r="X133" s="34"/>
      <x:c r="Y133" s="34"/>
      <x:c r="Z133" s="34"/>
      <x:c r="AA133" s="34"/>
      <x:c r="AB133" s="34"/>
      <x:c r="AC133" s="34"/>
      <x:c r="AD133" s="34"/>
      <x:c r="AE133" s="34"/>
      <x:c r="AF133" s="34"/>
      <x:c r="AG133" s="34"/>
      <x:c r="AH133" s="35" t="str">
        <x:f>IF(COUNTA(X133:AA133)&lt;4,"",ROUND((X133*20)*45%+(((Y133-1)/4*100)*30%+((Z133-1)/4*100)*25%+(1-(AA133-1)/4)*100*25%+(1-(MAX(1,AC133:AE133)-1)/4)*100*20%)*55%,0))</x:f>
      </x:c>
      <x:c r="AI133" s="35" t="str">
        <x:f>IF(AH133="","",IF(AH133&gt;=85,"Excelente",IF(AH133&gt;=70,"Adequado",IF(AH133&gt;=50,"Atenção","Crítico"))))</x:f>
      </x:c>
    </x:row>
    <x:row r="134">
      <x:c r="A134" s="33"/>
      <x:c r="B134" s="33"/>
      <x:c r="C134" s="33"/>
      <x:c r="D134" s="33"/>
      <x:c r="E134" s="36"/>
      <x:c r="F134" s="36"/>
      <x:c r="G134" s="33"/>
      <x:c r="H134" s="33"/>
      <x:c r="I134" s="33"/>
      <x:c r="J134" s="33"/>
      <x:c r="K134" s="33"/>
      <x:c r="L134" s="33"/>
      <x:c r="M134" s="33"/>
      <x:c r="N134" s="37"/>
      <x:c r="O134" s="33"/>
      <x:c r="P134" s="33"/>
      <x:c r="Q134" s="33"/>
      <x:c r="R134" s="37"/>
      <x:c r="S134" s="33"/>
      <x:c r="T134" s="33"/>
      <x:c r="U134" s="33"/>
      <x:c r="V134" s="38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34"/>
      <x:c r="AG134" s="34"/>
      <x:c r="AH134" s="35" t="str">
        <x:f>IF(COUNTA(X134:AA134)&lt;4,"",ROUND((X134*20)*45%+(((Y134-1)/4*100)*30%+((Z134-1)/4*100)*25%+(1-(AA134-1)/4)*100*25%+(1-(MAX(1,AC134:AE134)-1)/4)*100*20%)*55%,0))</x:f>
      </x:c>
      <x:c r="AI134" s="35" t="str">
        <x:f>IF(AH134="","",IF(AH134&gt;=85,"Excelente",IF(AH134&gt;=70,"Adequado",IF(AH134&gt;=50,"Atenção","Crítico"))))</x:f>
      </x:c>
    </x:row>
    <x:row r="135">
      <x:c r="A135" s="33"/>
      <x:c r="B135" s="33"/>
      <x:c r="C135" s="33"/>
      <x:c r="D135" s="33"/>
      <x:c r="E135" s="36"/>
      <x:c r="F135" s="36"/>
      <x:c r="G135" s="33"/>
      <x:c r="H135" s="33"/>
      <x:c r="I135" s="33"/>
      <x:c r="J135" s="33"/>
      <x:c r="K135" s="33"/>
      <x:c r="L135" s="33"/>
      <x:c r="M135" s="33"/>
      <x:c r="N135" s="37"/>
      <x:c r="O135" s="33"/>
      <x:c r="P135" s="33"/>
      <x:c r="Q135" s="33"/>
      <x:c r="R135" s="37"/>
      <x:c r="S135" s="33"/>
      <x:c r="T135" s="33"/>
      <x:c r="U135" s="33"/>
      <x:c r="V135" s="38"/>
      <x:c r="W135" s="34"/>
      <x:c r="X135" s="34"/>
      <x:c r="Y135" s="34"/>
      <x:c r="Z135" s="34"/>
      <x:c r="AA135" s="34"/>
      <x:c r="AB135" s="34"/>
      <x:c r="AC135" s="34"/>
      <x:c r="AD135" s="34"/>
      <x:c r="AE135" s="34"/>
      <x:c r="AF135" s="34"/>
      <x:c r="AG135" s="34"/>
      <x:c r="AH135" s="35" t="str">
        <x:f>IF(COUNTA(X135:AA135)&lt;4,"",ROUND((X135*20)*45%+(((Y135-1)/4*100)*30%+((Z135-1)/4*100)*25%+(1-(AA135-1)/4)*100*25%+(1-(MAX(1,AC135:AE135)-1)/4)*100*20%)*55%,0))</x:f>
      </x:c>
      <x:c r="AI135" s="35" t="str">
        <x:f>IF(AH135="","",IF(AH135&gt;=85,"Excelente",IF(AH135&gt;=70,"Adequado",IF(AH135&gt;=50,"Atenção","Crítico"))))</x:f>
      </x:c>
    </x:row>
    <x:row r="136">
      <x:c r="A136" s="33"/>
      <x:c r="B136" s="33"/>
      <x:c r="C136" s="33"/>
      <x:c r="D136" s="33"/>
      <x:c r="E136" s="36"/>
      <x:c r="F136" s="36"/>
      <x:c r="G136" s="33"/>
      <x:c r="H136" s="33"/>
      <x:c r="I136" s="33"/>
      <x:c r="J136" s="33"/>
      <x:c r="K136" s="33"/>
      <x:c r="L136" s="33"/>
      <x:c r="M136" s="33"/>
      <x:c r="N136" s="37"/>
      <x:c r="O136" s="33"/>
      <x:c r="P136" s="33"/>
      <x:c r="Q136" s="33"/>
      <x:c r="R136" s="37"/>
      <x:c r="S136" s="33"/>
      <x:c r="T136" s="33"/>
      <x:c r="U136" s="33"/>
      <x:c r="V136" s="38"/>
      <x:c r="W136" s="34"/>
      <x:c r="X136" s="34"/>
      <x:c r="Y136" s="34"/>
      <x:c r="Z136" s="34"/>
      <x:c r="AA136" s="34"/>
      <x:c r="AB136" s="34"/>
      <x:c r="AC136" s="34"/>
      <x:c r="AD136" s="34"/>
      <x:c r="AE136" s="34"/>
      <x:c r="AF136" s="34"/>
      <x:c r="AG136" s="34"/>
      <x:c r="AH136" s="35" t="str">
        <x:f>IF(COUNTA(X136:AA136)&lt;4,"",ROUND((X136*20)*45%+(((Y136-1)/4*100)*30%+((Z136-1)/4*100)*25%+(1-(AA136-1)/4)*100*25%+(1-(MAX(1,AC136:AE136)-1)/4)*100*20%)*55%,0))</x:f>
      </x:c>
      <x:c r="AI136" s="35" t="str">
        <x:f>IF(AH136="","",IF(AH136&gt;=85,"Excelente",IF(AH136&gt;=70,"Adequado",IF(AH136&gt;=50,"Atenção","Crítico"))))</x:f>
      </x:c>
    </x:row>
    <x:row r="137">
      <x:c r="A137" s="33"/>
      <x:c r="B137" s="33"/>
      <x:c r="C137" s="33"/>
      <x:c r="D137" s="33"/>
      <x:c r="E137" s="36"/>
      <x:c r="F137" s="36"/>
      <x:c r="G137" s="33"/>
      <x:c r="H137" s="33"/>
      <x:c r="I137" s="33"/>
      <x:c r="J137" s="33"/>
      <x:c r="K137" s="33"/>
      <x:c r="L137" s="33"/>
      <x:c r="M137" s="33"/>
      <x:c r="N137" s="37"/>
      <x:c r="O137" s="33"/>
      <x:c r="P137" s="33"/>
      <x:c r="Q137" s="33"/>
      <x:c r="R137" s="37"/>
      <x:c r="S137" s="33"/>
      <x:c r="T137" s="33"/>
      <x:c r="U137" s="33"/>
      <x:c r="V137" s="38"/>
      <x:c r="W137" s="34"/>
      <x:c r="X137" s="34"/>
      <x:c r="Y137" s="34"/>
      <x:c r="Z137" s="34"/>
      <x:c r="AA137" s="34"/>
      <x:c r="AB137" s="34"/>
      <x:c r="AC137" s="34"/>
      <x:c r="AD137" s="34"/>
      <x:c r="AE137" s="34"/>
      <x:c r="AF137" s="34"/>
      <x:c r="AG137" s="34"/>
      <x:c r="AH137" s="35" t="str">
        <x:f>IF(COUNTA(X137:AA137)&lt;4,"",ROUND((X137*20)*45%+(((Y137-1)/4*100)*30%+((Z137-1)/4*100)*25%+(1-(AA137-1)/4)*100*25%+(1-(MAX(1,AC137:AE137)-1)/4)*100*20%)*55%,0))</x:f>
      </x:c>
      <x:c r="AI137" s="35" t="str">
        <x:f>IF(AH137="","",IF(AH137&gt;=85,"Excelente",IF(AH137&gt;=70,"Adequado",IF(AH137&gt;=50,"Atenção","Crítico"))))</x:f>
      </x:c>
    </x:row>
    <x:row r="138">
      <x:c r="A138" s="33"/>
      <x:c r="B138" s="33"/>
      <x:c r="C138" s="33"/>
      <x:c r="D138" s="33"/>
      <x:c r="E138" s="36"/>
      <x:c r="F138" s="36"/>
      <x:c r="G138" s="33"/>
      <x:c r="H138" s="33"/>
      <x:c r="I138" s="33"/>
      <x:c r="J138" s="33"/>
      <x:c r="K138" s="33"/>
      <x:c r="L138" s="33"/>
      <x:c r="M138" s="33"/>
      <x:c r="N138" s="37"/>
      <x:c r="O138" s="33"/>
      <x:c r="P138" s="33"/>
      <x:c r="Q138" s="33"/>
      <x:c r="R138" s="37"/>
      <x:c r="S138" s="33"/>
      <x:c r="T138" s="33"/>
      <x:c r="U138" s="33"/>
      <x:c r="V138" s="38"/>
      <x:c r="W138" s="34"/>
      <x:c r="X138" s="34"/>
      <x:c r="Y138" s="34"/>
      <x:c r="Z138" s="34"/>
      <x:c r="AA138" s="34"/>
      <x:c r="AB138" s="34"/>
      <x:c r="AC138" s="34"/>
      <x:c r="AD138" s="34"/>
      <x:c r="AE138" s="34"/>
      <x:c r="AF138" s="34"/>
      <x:c r="AG138" s="34"/>
      <x:c r="AH138" s="35" t="str">
        <x:f>IF(COUNTA(X138:AA138)&lt;4,"",ROUND((X138*20)*45%+(((Y138-1)/4*100)*30%+((Z138-1)/4*100)*25%+(1-(AA138-1)/4)*100*25%+(1-(MAX(1,AC138:AE138)-1)/4)*100*20%)*55%,0))</x:f>
      </x:c>
      <x:c r="AI138" s="35" t="str">
        <x:f>IF(AH138="","",IF(AH138&gt;=85,"Excelente",IF(AH138&gt;=70,"Adequado",IF(AH138&gt;=50,"Atenção","Crítico"))))</x:f>
      </x:c>
    </x:row>
    <x:row r="139">
      <x:c r="A139" s="33"/>
      <x:c r="B139" s="33"/>
      <x:c r="C139" s="33"/>
      <x:c r="D139" s="33"/>
      <x:c r="E139" s="36"/>
      <x:c r="F139" s="36"/>
      <x:c r="G139" s="33"/>
      <x:c r="H139" s="33"/>
      <x:c r="I139" s="33"/>
      <x:c r="J139" s="33"/>
      <x:c r="K139" s="33"/>
      <x:c r="L139" s="33"/>
      <x:c r="M139" s="33"/>
      <x:c r="N139" s="37"/>
      <x:c r="O139" s="33"/>
      <x:c r="P139" s="33"/>
      <x:c r="Q139" s="33"/>
      <x:c r="R139" s="37"/>
      <x:c r="S139" s="33"/>
      <x:c r="T139" s="33"/>
      <x:c r="U139" s="33"/>
      <x:c r="V139" s="38"/>
      <x:c r="W139" s="34"/>
      <x:c r="X139" s="34"/>
      <x:c r="Y139" s="34"/>
      <x:c r="Z139" s="34"/>
      <x:c r="AA139" s="34"/>
      <x:c r="AB139" s="34"/>
      <x:c r="AC139" s="34"/>
      <x:c r="AD139" s="34"/>
      <x:c r="AE139" s="34"/>
      <x:c r="AF139" s="34"/>
      <x:c r="AG139" s="34"/>
      <x:c r="AH139" s="35" t="str">
        <x:f>IF(COUNTA(X139:AA139)&lt;4,"",ROUND((X139*20)*45%+(((Y139-1)/4*100)*30%+((Z139-1)/4*100)*25%+(1-(AA139-1)/4)*100*25%+(1-(MAX(1,AC139:AE139)-1)/4)*100*20%)*55%,0))</x:f>
      </x:c>
      <x:c r="AI139" s="35" t="str">
        <x:f>IF(AH139="","",IF(AH139&gt;=85,"Excelente",IF(AH139&gt;=70,"Adequado",IF(AH139&gt;=50,"Atenção","Crítico"))))</x:f>
      </x:c>
    </x:row>
    <x:row r="140">
      <x:c r="A140" s="33"/>
      <x:c r="B140" s="33"/>
      <x:c r="C140" s="33"/>
      <x:c r="D140" s="33"/>
      <x:c r="E140" s="36"/>
      <x:c r="F140" s="36"/>
      <x:c r="G140" s="33"/>
      <x:c r="H140" s="33"/>
      <x:c r="I140" s="33"/>
      <x:c r="J140" s="33"/>
      <x:c r="K140" s="33"/>
      <x:c r="L140" s="33"/>
      <x:c r="M140" s="33"/>
      <x:c r="N140" s="37"/>
      <x:c r="O140" s="33"/>
      <x:c r="P140" s="33"/>
      <x:c r="Q140" s="33"/>
      <x:c r="R140" s="37"/>
      <x:c r="S140" s="33"/>
      <x:c r="T140" s="33"/>
      <x:c r="U140" s="33"/>
      <x:c r="V140" s="38"/>
      <x:c r="W140" s="34"/>
      <x:c r="X140" s="34"/>
      <x:c r="Y140" s="34"/>
      <x:c r="Z140" s="34"/>
      <x:c r="AA140" s="34"/>
      <x:c r="AB140" s="34"/>
      <x:c r="AC140" s="34"/>
      <x:c r="AD140" s="34"/>
      <x:c r="AE140" s="34"/>
      <x:c r="AF140" s="34"/>
      <x:c r="AG140" s="34"/>
      <x:c r="AH140" s="35" t="str">
        <x:f>IF(COUNTA(X140:AA140)&lt;4,"",ROUND((X140*20)*45%+(((Y140-1)/4*100)*30%+((Z140-1)/4*100)*25%+(1-(AA140-1)/4)*100*25%+(1-(MAX(1,AC140:AE140)-1)/4)*100*20%)*55%,0))</x:f>
      </x:c>
      <x:c r="AI140" s="35" t="str">
        <x:f>IF(AH140="","",IF(AH140&gt;=85,"Excelente",IF(AH140&gt;=70,"Adequado",IF(AH140&gt;=50,"Atenção","Crítico"))))</x:f>
      </x:c>
    </x:row>
    <x:row r="141">
      <x:c r="A141" s="33"/>
      <x:c r="B141" s="33"/>
      <x:c r="C141" s="33"/>
      <x:c r="D141" s="33"/>
      <x:c r="E141" s="36"/>
      <x:c r="F141" s="36"/>
      <x:c r="G141" s="33"/>
      <x:c r="H141" s="33"/>
      <x:c r="I141" s="33"/>
      <x:c r="J141" s="33"/>
      <x:c r="K141" s="33"/>
      <x:c r="L141" s="33"/>
      <x:c r="M141" s="33"/>
      <x:c r="N141" s="37"/>
      <x:c r="O141" s="33"/>
      <x:c r="P141" s="33"/>
      <x:c r="Q141" s="33"/>
      <x:c r="R141" s="37"/>
      <x:c r="S141" s="33"/>
      <x:c r="T141" s="33"/>
      <x:c r="U141" s="33"/>
      <x:c r="V141" s="38"/>
      <x:c r="W141" s="34"/>
      <x:c r="X141" s="34"/>
      <x:c r="Y141" s="34"/>
      <x:c r="Z141" s="34"/>
      <x:c r="AA141" s="34"/>
      <x:c r="AB141" s="34"/>
      <x:c r="AC141" s="34"/>
      <x:c r="AD141" s="34"/>
      <x:c r="AE141" s="34"/>
      <x:c r="AF141" s="34"/>
      <x:c r="AG141" s="34"/>
      <x:c r="AH141" s="35" t="str">
        <x:f>IF(COUNTA(X141:AA141)&lt;4,"",ROUND((X141*20)*45%+(((Y141-1)/4*100)*30%+((Z141-1)/4*100)*25%+(1-(AA141-1)/4)*100*25%+(1-(MAX(1,AC141:AE141)-1)/4)*100*20%)*55%,0))</x:f>
      </x:c>
      <x:c r="AI141" s="35" t="str">
        <x:f>IF(AH141="","",IF(AH141&gt;=85,"Excelente",IF(AH141&gt;=70,"Adequado",IF(AH141&gt;=50,"Atenção","Crítico"))))</x:f>
      </x:c>
    </x:row>
    <x:row r="142">
      <x:c r="A142" s="33"/>
      <x:c r="B142" s="33"/>
      <x:c r="C142" s="33"/>
      <x:c r="D142" s="33"/>
      <x:c r="E142" s="36"/>
      <x:c r="F142" s="36"/>
      <x:c r="G142" s="33"/>
      <x:c r="H142" s="33"/>
      <x:c r="I142" s="33"/>
      <x:c r="J142" s="33"/>
      <x:c r="K142" s="33"/>
      <x:c r="L142" s="33"/>
      <x:c r="M142" s="33"/>
      <x:c r="N142" s="37"/>
      <x:c r="O142" s="33"/>
      <x:c r="P142" s="33"/>
      <x:c r="Q142" s="33"/>
      <x:c r="R142" s="37"/>
      <x:c r="S142" s="33"/>
      <x:c r="T142" s="33"/>
      <x:c r="U142" s="33"/>
      <x:c r="V142" s="38"/>
      <x:c r="W142" s="34"/>
      <x:c r="X142" s="34"/>
      <x:c r="Y142" s="34"/>
      <x:c r="Z142" s="34"/>
      <x:c r="AA142" s="34"/>
      <x:c r="AB142" s="34"/>
      <x:c r="AC142" s="34"/>
      <x:c r="AD142" s="34"/>
      <x:c r="AE142" s="34"/>
      <x:c r="AF142" s="34"/>
      <x:c r="AG142" s="34"/>
      <x:c r="AH142" s="35" t="str">
        <x:f>IF(COUNTA(X142:AA142)&lt;4,"",ROUND((X142*20)*45%+(((Y142-1)/4*100)*30%+((Z142-1)/4*100)*25%+(1-(AA142-1)/4)*100*25%+(1-(MAX(1,AC142:AE142)-1)/4)*100*20%)*55%,0))</x:f>
      </x:c>
      <x:c r="AI142" s="35" t="str">
        <x:f>IF(AH142="","",IF(AH142&gt;=85,"Excelente",IF(AH142&gt;=70,"Adequado",IF(AH142&gt;=50,"Atenção","Crítico"))))</x:f>
      </x:c>
    </x:row>
    <x:row r="143">
      <x:c r="A143" s="33"/>
      <x:c r="B143" s="33"/>
      <x:c r="C143" s="33"/>
      <x:c r="D143" s="33"/>
      <x:c r="E143" s="36"/>
      <x:c r="F143" s="36"/>
      <x:c r="G143" s="33"/>
      <x:c r="H143" s="33"/>
      <x:c r="I143" s="33"/>
      <x:c r="J143" s="33"/>
      <x:c r="K143" s="33"/>
      <x:c r="L143" s="33"/>
      <x:c r="M143" s="33"/>
      <x:c r="N143" s="37"/>
      <x:c r="O143" s="33"/>
      <x:c r="P143" s="33"/>
      <x:c r="Q143" s="33"/>
      <x:c r="R143" s="37"/>
      <x:c r="S143" s="33"/>
      <x:c r="T143" s="33"/>
      <x:c r="U143" s="33"/>
      <x:c r="V143" s="38"/>
      <x:c r="W143" s="34"/>
      <x:c r="X143" s="34"/>
      <x:c r="Y143" s="34"/>
      <x:c r="Z143" s="34"/>
      <x:c r="AA143" s="34"/>
      <x:c r="AB143" s="34"/>
      <x:c r="AC143" s="34"/>
      <x:c r="AD143" s="34"/>
      <x:c r="AE143" s="34"/>
      <x:c r="AF143" s="34"/>
      <x:c r="AG143" s="34"/>
      <x:c r="AH143" s="35" t="str">
        <x:f>IF(COUNTA(X143:AA143)&lt;4,"",ROUND((X143*20)*45%+(((Y143-1)/4*100)*30%+((Z143-1)/4*100)*25%+(1-(AA143-1)/4)*100*25%+(1-(MAX(1,AC143:AE143)-1)/4)*100*20%)*55%,0))</x:f>
      </x:c>
      <x:c r="AI143" s="35" t="str">
        <x:f>IF(AH143="","",IF(AH143&gt;=85,"Excelente",IF(AH143&gt;=70,"Adequado",IF(AH143&gt;=50,"Atenção","Crítico"))))</x:f>
      </x:c>
    </x:row>
    <x:row r="144">
      <x:c r="A144" s="33"/>
      <x:c r="B144" s="33"/>
      <x:c r="C144" s="33"/>
      <x:c r="D144" s="33"/>
      <x:c r="E144" s="36"/>
      <x:c r="F144" s="36"/>
      <x:c r="G144" s="33"/>
      <x:c r="H144" s="33"/>
      <x:c r="I144" s="33"/>
      <x:c r="J144" s="33"/>
      <x:c r="K144" s="33"/>
      <x:c r="L144" s="33"/>
      <x:c r="M144" s="33"/>
      <x:c r="N144" s="37"/>
      <x:c r="O144" s="33"/>
      <x:c r="P144" s="33"/>
      <x:c r="Q144" s="33"/>
      <x:c r="R144" s="37"/>
      <x:c r="S144" s="33"/>
      <x:c r="T144" s="33"/>
      <x:c r="U144" s="33"/>
      <x:c r="V144" s="38"/>
      <x:c r="W144" s="34"/>
      <x:c r="X144" s="34"/>
      <x:c r="Y144" s="34"/>
      <x:c r="Z144" s="34"/>
      <x:c r="AA144" s="34"/>
      <x:c r="AB144" s="34"/>
      <x:c r="AC144" s="34"/>
      <x:c r="AD144" s="34"/>
      <x:c r="AE144" s="34"/>
      <x:c r="AF144" s="34"/>
      <x:c r="AG144" s="34"/>
      <x:c r="AH144" s="35" t="str">
        <x:f>IF(COUNTA(X144:AA144)&lt;4,"",ROUND((X144*20)*45%+(((Y144-1)/4*100)*30%+((Z144-1)/4*100)*25%+(1-(AA144-1)/4)*100*25%+(1-(MAX(1,AC144:AE144)-1)/4)*100*20%)*55%,0))</x:f>
      </x:c>
      <x:c r="AI144" s="35" t="str">
        <x:f>IF(AH144="","",IF(AH144&gt;=85,"Excelente",IF(AH144&gt;=70,"Adequado",IF(AH144&gt;=50,"Atenção","Crítico"))))</x:f>
      </x:c>
    </x:row>
    <x:row r="145">
      <x:c r="A145" s="33"/>
      <x:c r="B145" s="33"/>
      <x:c r="C145" s="33"/>
      <x:c r="D145" s="33"/>
      <x:c r="E145" s="36"/>
      <x:c r="F145" s="36"/>
      <x:c r="G145" s="33"/>
      <x:c r="H145" s="33"/>
      <x:c r="I145" s="33"/>
      <x:c r="J145" s="33"/>
      <x:c r="K145" s="33"/>
      <x:c r="L145" s="33"/>
      <x:c r="M145" s="33"/>
      <x:c r="N145" s="37"/>
      <x:c r="O145" s="33"/>
      <x:c r="P145" s="33"/>
      <x:c r="Q145" s="33"/>
      <x:c r="R145" s="37"/>
      <x:c r="S145" s="33"/>
      <x:c r="T145" s="33"/>
      <x:c r="U145" s="33"/>
      <x:c r="V145" s="38"/>
      <x:c r="W145" s="34"/>
      <x:c r="X145" s="34"/>
      <x:c r="Y145" s="34"/>
      <x:c r="Z145" s="34"/>
      <x:c r="AA145" s="34"/>
      <x:c r="AB145" s="34"/>
      <x:c r="AC145" s="34"/>
      <x:c r="AD145" s="34"/>
      <x:c r="AE145" s="34"/>
      <x:c r="AF145" s="34"/>
      <x:c r="AG145" s="34"/>
      <x:c r="AH145" s="35" t="str">
        <x:f>IF(COUNTA(X145:AA145)&lt;4,"",ROUND((X145*20)*45%+(((Y145-1)/4*100)*30%+((Z145-1)/4*100)*25%+(1-(AA145-1)/4)*100*25%+(1-(MAX(1,AC145:AE145)-1)/4)*100*20%)*55%,0))</x:f>
      </x:c>
      <x:c r="AI145" s="35" t="str">
        <x:f>IF(AH145="","",IF(AH145&gt;=85,"Excelente",IF(AH145&gt;=70,"Adequado",IF(AH145&gt;=50,"Atenção","Crítico"))))</x:f>
      </x:c>
    </x:row>
    <x:row r="146">
      <x:c r="A146" s="33"/>
      <x:c r="B146" s="33"/>
      <x:c r="C146" s="33"/>
      <x:c r="D146" s="33"/>
      <x:c r="E146" s="36"/>
      <x:c r="F146" s="36"/>
      <x:c r="G146" s="33"/>
      <x:c r="H146" s="33"/>
      <x:c r="I146" s="33"/>
      <x:c r="J146" s="33"/>
      <x:c r="K146" s="33"/>
      <x:c r="L146" s="33"/>
      <x:c r="M146" s="33"/>
      <x:c r="N146" s="37"/>
      <x:c r="O146" s="33"/>
      <x:c r="P146" s="33"/>
      <x:c r="Q146" s="33"/>
      <x:c r="R146" s="37"/>
      <x:c r="S146" s="33"/>
      <x:c r="T146" s="33"/>
      <x:c r="U146" s="33"/>
      <x:c r="V146" s="38"/>
      <x:c r="W146" s="34"/>
      <x:c r="X146" s="34"/>
      <x:c r="Y146" s="34"/>
      <x:c r="Z146" s="34"/>
      <x:c r="AA146" s="34"/>
      <x:c r="AB146" s="34"/>
      <x:c r="AC146" s="34"/>
      <x:c r="AD146" s="34"/>
      <x:c r="AE146" s="34"/>
      <x:c r="AF146" s="34"/>
      <x:c r="AG146" s="34"/>
      <x:c r="AH146" s="35" t="str">
        <x:f>IF(COUNTA(X146:AA146)&lt;4,"",ROUND((X146*20)*45%+(((Y146-1)/4*100)*30%+((Z146-1)/4*100)*25%+(1-(AA146-1)/4)*100*25%+(1-(MAX(1,AC146:AE146)-1)/4)*100*20%)*55%,0))</x:f>
      </x:c>
      <x:c r="AI146" s="35" t="str">
        <x:f>IF(AH146="","",IF(AH146&gt;=85,"Excelente",IF(AH146&gt;=70,"Adequado",IF(AH146&gt;=50,"Atenção","Crítico"))))</x:f>
      </x:c>
    </x:row>
    <x:row r="147">
      <x:c r="A147" s="33"/>
      <x:c r="B147" s="33"/>
      <x:c r="C147" s="33"/>
      <x:c r="D147" s="33"/>
      <x:c r="E147" s="36"/>
      <x:c r="F147" s="36"/>
      <x:c r="G147" s="33"/>
      <x:c r="H147" s="33"/>
      <x:c r="I147" s="33"/>
      <x:c r="J147" s="33"/>
      <x:c r="K147" s="33"/>
      <x:c r="L147" s="33"/>
      <x:c r="M147" s="33"/>
      <x:c r="N147" s="37"/>
      <x:c r="O147" s="33"/>
      <x:c r="P147" s="33"/>
      <x:c r="Q147" s="33"/>
      <x:c r="R147" s="37"/>
      <x:c r="S147" s="33"/>
      <x:c r="T147" s="33"/>
      <x:c r="U147" s="33"/>
      <x:c r="V147" s="38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34"/>
      <x:c r="AG147" s="34"/>
      <x:c r="AH147" s="35" t="str">
        <x:f>IF(COUNTA(X147:AA147)&lt;4,"",ROUND((X147*20)*45%+(((Y147-1)/4*100)*30%+((Z147-1)/4*100)*25%+(1-(AA147-1)/4)*100*25%+(1-(MAX(1,AC147:AE147)-1)/4)*100*20%)*55%,0))</x:f>
      </x:c>
      <x:c r="AI147" s="35" t="str">
        <x:f>IF(AH147="","",IF(AH147&gt;=85,"Excelente",IF(AH147&gt;=70,"Adequado",IF(AH147&gt;=50,"Atenção","Crítico"))))</x:f>
      </x:c>
    </x:row>
    <x:row r="148">
      <x:c r="A148" s="33"/>
      <x:c r="B148" s="33"/>
      <x:c r="C148" s="33"/>
      <x:c r="D148" s="33"/>
      <x:c r="E148" s="36"/>
      <x:c r="F148" s="36"/>
      <x:c r="G148" s="33"/>
      <x:c r="H148" s="33"/>
      <x:c r="I148" s="33"/>
      <x:c r="J148" s="33"/>
      <x:c r="K148" s="33"/>
      <x:c r="L148" s="33"/>
      <x:c r="M148" s="33"/>
      <x:c r="N148" s="37"/>
      <x:c r="O148" s="33"/>
      <x:c r="P148" s="33"/>
      <x:c r="Q148" s="33"/>
      <x:c r="R148" s="37"/>
      <x:c r="S148" s="33"/>
      <x:c r="T148" s="33"/>
      <x:c r="U148" s="33"/>
      <x:c r="V148" s="38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34"/>
      <x:c r="AG148" s="34"/>
      <x:c r="AH148" s="35" t="str">
        <x:f>IF(COUNTA(X148:AA148)&lt;4,"",ROUND((X148*20)*45%+(((Y148-1)/4*100)*30%+((Z148-1)/4*100)*25%+(1-(AA148-1)/4)*100*25%+(1-(MAX(1,AC148:AE148)-1)/4)*100*20%)*55%,0))</x:f>
      </x:c>
      <x:c r="AI148" s="35" t="str">
        <x:f>IF(AH148="","",IF(AH148&gt;=85,"Excelente",IF(AH148&gt;=70,"Adequado",IF(AH148&gt;=50,"Atenção","Crítico"))))</x:f>
      </x:c>
    </x:row>
    <x:row r="149">
      <x:c r="A149" s="33"/>
      <x:c r="B149" s="33"/>
      <x:c r="C149" s="33"/>
      <x:c r="D149" s="33"/>
      <x:c r="E149" s="36"/>
      <x:c r="F149" s="36"/>
      <x:c r="G149" s="33"/>
      <x:c r="H149" s="33"/>
      <x:c r="I149" s="33"/>
      <x:c r="J149" s="33"/>
      <x:c r="K149" s="33"/>
      <x:c r="L149" s="33"/>
      <x:c r="M149" s="33"/>
      <x:c r="N149" s="37"/>
      <x:c r="O149" s="33"/>
      <x:c r="P149" s="33"/>
      <x:c r="Q149" s="33"/>
      <x:c r="R149" s="37"/>
      <x:c r="S149" s="33"/>
      <x:c r="T149" s="33"/>
      <x:c r="U149" s="33"/>
      <x:c r="V149" s="38"/>
      <x:c r="W149" s="34"/>
      <x:c r="X149" s="34"/>
      <x:c r="Y149" s="34"/>
      <x:c r="Z149" s="34"/>
      <x:c r="AA149" s="34"/>
      <x:c r="AB149" s="34"/>
      <x:c r="AC149" s="34"/>
      <x:c r="AD149" s="34"/>
      <x:c r="AE149" s="34"/>
      <x:c r="AF149" s="34"/>
      <x:c r="AG149" s="34"/>
      <x:c r="AH149" s="35" t="str">
        <x:f>IF(COUNTA(X149:AA149)&lt;4,"",ROUND((X149*20)*45%+(((Y149-1)/4*100)*30%+((Z149-1)/4*100)*25%+(1-(AA149-1)/4)*100*25%+(1-(MAX(1,AC149:AE149)-1)/4)*100*20%)*55%,0))</x:f>
      </x:c>
      <x:c r="AI149" s="35" t="str">
        <x:f>IF(AH149="","",IF(AH149&gt;=85,"Excelente",IF(AH149&gt;=70,"Adequado",IF(AH149&gt;=50,"Atenção","Crítico"))))</x:f>
      </x:c>
    </x:row>
    <x:row r="150">
      <x:c r="A150" s="33"/>
      <x:c r="B150" s="33"/>
      <x:c r="C150" s="33"/>
      <x:c r="D150" s="33"/>
      <x:c r="E150" s="36"/>
      <x:c r="F150" s="36"/>
      <x:c r="G150" s="33"/>
      <x:c r="H150" s="33"/>
      <x:c r="I150" s="33"/>
      <x:c r="J150" s="33"/>
      <x:c r="K150" s="33"/>
      <x:c r="L150" s="33"/>
      <x:c r="M150" s="33"/>
      <x:c r="N150" s="37"/>
      <x:c r="O150" s="33"/>
      <x:c r="P150" s="33"/>
      <x:c r="Q150" s="33"/>
      <x:c r="R150" s="37"/>
      <x:c r="S150" s="33"/>
      <x:c r="T150" s="33"/>
      <x:c r="U150" s="33"/>
      <x:c r="V150" s="38"/>
      <x:c r="W150" s="34"/>
      <x:c r="X150" s="34"/>
      <x:c r="Y150" s="34"/>
      <x:c r="Z150" s="34"/>
      <x:c r="AA150" s="34"/>
      <x:c r="AB150" s="34"/>
      <x:c r="AC150" s="34"/>
      <x:c r="AD150" s="34"/>
      <x:c r="AE150" s="34"/>
      <x:c r="AF150" s="34"/>
      <x:c r="AG150" s="34"/>
      <x:c r="AH150" s="35" t="str">
        <x:f>IF(COUNTA(X150:AA150)&lt;4,"",ROUND((X150*20)*45%+(((Y150-1)/4*100)*30%+((Z150-1)/4*100)*25%+(1-(AA150-1)/4)*100*25%+(1-(MAX(1,AC150:AE150)-1)/4)*100*20%)*55%,0))</x:f>
      </x:c>
      <x:c r="AI150" s="35" t="str">
        <x:f>IF(AH150="","",IF(AH150&gt;=85,"Excelente",IF(AH150&gt;=70,"Adequado",IF(AH150&gt;=50,"Atenção","Crítico"))))</x:f>
      </x:c>
    </x:row>
    <x:row r="151">
      <x:c r="A151" s="33"/>
      <x:c r="B151" s="33"/>
      <x:c r="C151" s="33"/>
      <x:c r="D151" s="33"/>
      <x:c r="E151" s="36"/>
      <x:c r="F151" s="36"/>
      <x:c r="G151" s="33"/>
      <x:c r="H151" s="33"/>
      <x:c r="I151" s="33"/>
      <x:c r="J151" s="33"/>
      <x:c r="K151" s="33"/>
      <x:c r="L151" s="33"/>
      <x:c r="M151" s="33"/>
      <x:c r="N151" s="37"/>
      <x:c r="O151" s="33"/>
      <x:c r="P151" s="33"/>
      <x:c r="Q151" s="33"/>
      <x:c r="R151" s="37"/>
      <x:c r="S151" s="33"/>
      <x:c r="T151" s="33"/>
      <x:c r="U151" s="33"/>
      <x:c r="V151" s="38"/>
      <x:c r="W151" s="34"/>
      <x:c r="X151" s="34"/>
      <x:c r="Y151" s="34"/>
      <x:c r="Z151" s="34"/>
      <x:c r="AA151" s="34"/>
      <x:c r="AB151" s="34"/>
      <x:c r="AC151" s="34"/>
      <x:c r="AD151" s="34"/>
      <x:c r="AE151" s="34"/>
      <x:c r="AF151" s="34"/>
      <x:c r="AG151" s="34"/>
      <x:c r="AH151" s="35" t="str">
        <x:f>IF(COUNTA(X151:AA151)&lt;4,"",ROUND((X151*20)*45%+(((Y151-1)/4*100)*30%+((Z151-1)/4*100)*25%+(1-(AA151-1)/4)*100*25%+(1-(MAX(1,AC151:AE151)-1)/4)*100*20%)*55%,0))</x:f>
      </x:c>
      <x:c r="AI151" s="35" t="str">
        <x:f>IF(AH151="","",IF(AH151&gt;=85,"Excelente",IF(AH151&gt;=70,"Adequado",IF(AH151&gt;=50,"Atenção","Crítico"))))</x:f>
      </x:c>
    </x:row>
    <x:row r="152">
      <x:c r="A152" s="33"/>
      <x:c r="B152" s="33"/>
      <x:c r="C152" s="33"/>
      <x:c r="D152" s="33"/>
      <x:c r="E152" s="36"/>
      <x:c r="F152" s="36"/>
      <x:c r="G152" s="33"/>
      <x:c r="H152" s="33"/>
      <x:c r="I152" s="33"/>
      <x:c r="J152" s="33"/>
      <x:c r="K152" s="33"/>
      <x:c r="L152" s="33"/>
      <x:c r="M152" s="33"/>
      <x:c r="N152" s="37"/>
      <x:c r="O152" s="33"/>
      <x:c r="P152" s="33"/>
      <x:c r="Q152" s="33"/>
      <x:c r="R152" s="37"/>
      <x:c r="S152" s="33"/>
      <x:c r="T152" s="33"/>
      <x:c r="U152" s="33"/>
      <x:c r="V152" s="38"/>
      <x:c r="W152" s="34"/>
      <x:c r="X152" s="34"/>
      <x:c r="Y152" s="34"/>
      <x:c r="Z152" s="34"/>
      <x:c r="AA152" s="34"/>
      <x:c r="AB152" s="34"/>
      <x:c r="AC152" s="34"/>
      <x:c r="AD152" s="34"/>
      <x:c r="AE152" s="34"/>
      <x:c r="AF152" s="34"/>
      <x:c r="AG152" s="34"/>
      <x:c r="AH152" s="35" t="str">
        <x:f>IF(COUNTA(X152:AA152)&lt;4,"",ROUND((X152*20)*45%+(((Y152-1)/4*100)*30%+((Z152-1)/4*100)*25%+(1-(AA152-1)/4)*100*25%+(1-(MAX(1,AC152:AE152)-1)/4)*100*20%)*55%,0))</x:f>
      </x:c>
      <x:c r="AI152" s="35" t="str">
        <x:f>IF(AH152="","",IF(AH152&gt;=85,"Excelente",IF(AH152&gt;=70,"Adequado",IF(AH152&gt;=50,"Atenção","Crítico"))))</x:f>
      </x:c>
    </x:row>
    <x:row r="153">
      <x:c r="A153" s="33"/>
      <x:c r="B153" s="33"/>
      <x:c r="C153" s="33"/>
      <x:c r="D153" s="33"/>
      <x:c r="E153" s="36"/>
      <x:c r="F153" s="36"/>
      <x:c r="G153" s="33"/>
      <x:c r="H153" s="33"/>
      <x:c r="I153" s="33"/>
      <x:c r="J153" s="33"/>
      <x:c r="K153" s="33"/>
      <x:c r="L153" s="33"/>
      <x:c r="M153" s="33"/>
      <x:c r="N153" s="37"/>
      <x:c r="O153" s="33"/>
      <x:c r="P153" s="33"/>
      <x:c r="Q153" s="33"/>
      <x:c r="R153" s="37"/>
      <x:c r="S153" s="33"/>
      <x:c r="T153" s="33"/>
      <x:c r="U153" s="33"/>
      <x:c r="V153" s="38"/>
      <x:c r="W153" s="34"/>
      <x:c r="X153" s="34"/>
      <x:c r="Y153" s="34"/>
      <x:c r="Z153" s="34"/>
      <x:c r="AA153" s="34"/>
      <x:c r="AB153" s="34"/>
      <x:c r="AC153" s="34"/>
      <x:c r="AD153" s="34"/>
      <x:c r="AE153" s="34"/>
      <x:c r="AF153" s="34"/>
      <x:c r="AG153" s="34"/>
      <x:c r="AH153" s="35" t="str">
        <x:f>IF(COUNTA(X153:AA153)&lt;4,"",ROUND((X153*20)*45%+(((Y153-1)/4*100)*30%+((Z153-1)/4*100)*25%+(1-(AA153-1)/4)*100*25%+(1-(MAX(1,AC153:AE153)-1)/4)*100*20%)*55%,0))</x:f>
      </x:c>
      <x:c r="AI153" s="35" t="str">
        <x:f>IF(AH153="","",IF(AH153&gt;=85,"Excelente",IF(AH153&gt;=70,"Adequado",IF(AH153&gt;=50,"Atenção","Crítico"))))</x:f>
      </x:c>
    </x:row>
    <x:row r="154">
      <x:c r="A154" s="33"/>
      <x:c r="B154" s="33"/>
      <x:c r="C154" s="33"/>
      <x:c r="D154" s="33"/>
      <x:c r="E154" s="36"/>
      <x:c r="F154" s="36"/>
      <x:c r="G154" s="33"/>
      <x:c r="H154" s="33"/>
      <x:c r="I154" s="33"/>
      <x:c r="J154" s="33"/>
      <x:c r="K154" s="33"/>
      <x:c r="L154" s="33"/>
      <x:c r="M154" s="33"/>
      <x:c r="N154" s="37"/>
      <x:c r="O154" s="33"/>
      <x:c r="P154" s="33"/>
      <x:c r="Q154" s="33"/>
      <x:c r="R154" s="37"/>
      <x:c r="S154" s="33"/>
      <x:c r="T154" s="33"/>
      <x:c r="U154" s="33"/>
      <x:c r="V154" s="38"/>
      <x:c r="W154" s="34"/>
      <x:c r="X154" s="34"/>
      <x:c r="Y154" s="34"/>
      <x:c r="Z154" s="34"/>
      <x:c r="AA154" s="34"/>
      <x:c r="AB154" s="34"/>
      <x:c r="AC154" s="34"/>
      <x:c r="AD154" s="34"/>
      <x:c r="AE154" s="34"/>
      <x:c r="AF154" s="34"/>
      <x:c r="AG154" s="34"/>
      <x:c r="AH154" s="35" t="str">
        <x:f>IF(COUNTA(X154:AA154)&lt;4,"",ROUND((X154*20)*45%+(((Y154-1)/4*100)*30%+((Z154-1)/4*100)*25%+(1-(AA154-1)/4)*100*25%+(1-(MAX(1,AC154:AE154)-1)/4)*100*20%)*55%,0))</x:f>
      </x:c>
      <x:c r="AI154" s="35" t="str">
        <x:f>IF(AH154="","",IF(AH154&gt;=85,"Excelente",IF(AH154&gt;=70,"Adequado",IF(AH154&gt;=50,"Atenção","Crítico"))))</x:f>
      </x:c>
    </x:row>
    <x:row r="155">
      <x:c r="A155" s="33"/>
      <x:c r="B155" s="33"/>
      <x:c r="C155" s="33"/>
      <x:c r="D155" s="33"/>
      <x:c r="E155" s="36"/>
      <x:c r="F155" s="36"/>
      <x:c r="G155" s="33"/>
      <x:c r="H155" s="33"/>
      <x:c r="I155" s="33"/>
      <x:c r="J155" s="33"/>
      <x:c r="K155" s="33"/>
      <x:c r="L155" s="33"/>
      <x:c r="M155" s="33"/>
      <x:c r="N155" s="37"/>
      <x:c r="O155" s="33"/>
      <x:c r="P155" s="33"/>
      <x:c r="Q155" s="33"/>
      <x:c r="R155" s="37"/>
      <x:c r="S155" s="33"/>
      <x:c r="T155" s="33"/>
      <x:c r="U155" s="33"/>
      <x:c r="V155" s="38"/>
      <x:c r="W155" s="34"/>
      <x:c r="X155" s="34"/>
      <x:c r="Y155" s="34"/>
      <x:c r="Z155" s="34"/>
      <x:c r="AA155" s="34"/>
      <x:c r="AB155" s="34"/>
      <x:c r="AC155" s="34"/>
      <x:c r="AD155" s="34"/>
      <x:c r="AE155" s="34"/>
      <x:c r="AF155" s="34"/>
      <x:c r="AG155" s="34"/>
      <x:c r="AH155" s="35" t="str">
        <x:f>IF(COUNTA(X155:AA155)&lt;4,"",ROUND((X155*20)*45%+(((Y155-1)/4*100)*30%+((Z155-1)/4*100)*25%+(1-(AA155-1)/4)*100*25%+(1-(MAX(1,AC155:AE155)-1)/4)*100*20%)*55%,0))</x:f>
      </x:c>
      <x:c r="AI155" s="35" t="str">
        <x:f>IF(AH155="","",IF(AH155&gt;=85,"Excelente",IF(AH155&gt;=70,"Adequado",IF(AH155&gt;=50,"Atenção","Crítico"))))</x:f>
      </x:c>
    </x:row>
    <x:row r="156">
      <x:c r="A156" s="33"/>
      <x:c r="B156" s="33"/>
      <x:c r="C156" s="33"/>
      <x:c r="D156" s="33"/>
      <x:c r="E156" s="36"/>
      <x:c r="F156" s="36"/>
      <x:c r="G156" s="33"/>
      <x:c r="H156" s="33"/>
      <x:c r="I156" s="33"/>
      <x:c r="J156" s="33"/>
      <x:c r="K156" s="33"/>
      <x:c r="L156" s="33"/>
      <x:c r="M156" s="33"/>
      <x:c r="N156" s="37"/>
      <x:c r="O156" s="33"/>
      <x:c r="P156" s="33"/>
      <x:c r="Q156" s="33"/>
      <x:c r="R156" s="37"/>
      <x:c r="S156" s="33"/>
      <x:c r="T156" s="33"/>
      <x:c r="U156" s="33"/>
      <x:c r="V156" s="38"/>
      <x:c r="W156" s="34"/>
      <x:c r="X156" s="34"/>
      <x:c r="Y156" s="34"/>
      <x:c r="Z156" s="34"/>
      <x:c r="AA156" s="34"/>
      <x:c r="AB156" s="34"/>
      <x:c r="AC156" s="34"/>
      <x:c r="AD156" s="34"/>
      <x:c r="AE156" s="34"/>
      <x:c r="AF156" s="34"/>
      <x:c r="AG156" s="34"/>
      <x:c r="AH156" s="35" t="str">
        <x:f>IF(COUNTA(X156:AA156)&lt;4,"",ROUND((X156*20)*45%+(((Y156-1)/4*100)*30%+((Z156-1)/4*100)*25%+(1-(AA156-1)/4)*100*25%+(1-(MAX(1,AC156:AE156)-1)/4)*100*20%)*55%,0))</x:f>
      </x:c>
      <x:c r="AI156" s="35" t="str">
        <x:f>IF(AH156="","",IF(AH156&gt;=85,"Excelente",IF(AH156&gt;=70,"Adequado",IF(AH156&gt;=50,"Atenção","Crítico"))))</x:f>
      </x:c>
    </x:row>
    <x:row r="157">
      <x:c r="A157" s="33"/>
      <x:c r="B157" s="33"/>
      <x:c r="C157" s="33"/>
      <x:c r="D157" s="33"/>
      <x:c r="E157" s="36"/>
      <x:c r="F157" s="36"/>
      <x:c r="G157" s="33"/>
      <x:c r="H157" s="33"/>
      <x:c r="I157" s="33"/>
      <x:c r="J157" s="33"/>
      <x:c r="K157" s="33"/>
      <x:c r="L157" s="33"/>
      <x:c r="M157" s="33"/>
      <x:c r="N157" s="37"/>
      <x:c r="O157" s="33"/>
      <x:c r="P157" s="33"/>
      <x:c r="Q157" s="33"/>
      <x:c r="R157" s="37"/>
      <x:c r="S157" s="33"/>
      <x:c r="T157" s="33"/>
      <x:c r="U157" s="33"/>
      <x:c r="V157" s="38"/>
      <x:c r="W157" s="34"/>
      <x:c r="X157" s="34"/>
      <x:c r="Y157" s="34"/>
      <x:c r="Z157" s="34"/>
      <x:c r="AA157" s="34"/>
      <x:c r="AB157" s="34"/>
      <x:c r="AC157" s="34"/>
      <x:c r="AD157" s="34"/>
      <x:c r="AE157" s="34"/>
      <x:c r="AF157" s="34"/>
      <x:c r="AG157" s="34"/>
      <x:c r="AH157" s="35" t="str">
        <x:f>IF(COUNTA(X157:AA157)&lt;4,"",ROUND((X157*20)*45%+(((Y157-1)/4*100)*30%+((Z157-1)/4*100)*25%+(1-(AA157-1)/4)*100*25%+(1-(MAX(1,AC157:AE157)-1)/4)*100*20%)*55%,0))</x:f>
      </x:c>
      <x:c r="AI157" s="35" t="str">
        <x:f>IF(AH157="","",IF(AH157&gt;=85,"Excelente",IF(AH157&gt;=70,"Adequado",IF(AH157&gt;=50,"Atenção","Crítico"))))</x:f>
      </x:c>
    </x:row>
    <x:row r="158">
      <x:c r="A158" s="33"/>
      <x:c r="B158" s="33"/>
      <x:c r="C158" s="33"/>
      <x:c r="D158" s="33"/>
      <x:c r="E158" s="36"/>
      <x:c r="F158" s="36"/>
      <x:c r="G158" s="33"/>
      <x:c r="H158" s="33"/>
      <x:c r="I158" s="33"/>
      <x:c r="J158" s="33"/>
      <x:c r="K158" s="33"/>
      <x:c r="L158" s="33"/>
      <x:c r="M158" s="33"/>
      <x:c r="N158" s="37"/>
      <x:c r="O158" s="33"/>
      <x:c r="P158" s="33"/>
      <x:c r="Q158" s="33"/>
      <x:c r="R158" s="37"/>
      <x:c r="S158" s="33"/>
      <x:c r="T158" s="33"/>
      <x:c r="U158" s="33"/>
      <x:c r="V158" s="38"/>
      <x:c r="W158" s="34"/>
      <x:c r="X158" s="34"/>
      <x:c r="Y158" s="34"/>
      <x:c r="Z158" s="34"/>
      <x:c r="AA158" s="34"/>
      <x:c r="AB158" s="34"/>
      <x:c r="AC158" s="34"/>
      <x:c r="AD158" s="34"/>
      <x:c r="AE158" s="34"/>
      <x:c r="AF158" s="34"/>
      <x:c r="AG158" s="34"/>
      <x:c r="AH158" s="35" t="str">
        <x:f>IF(COUNTA(X158:AA158)&lt;4,"",ROUND((X158*20)*45%+(((Y158-1)/4*100)*30%+((Z158-1)/4*100)*25%+(1-(AA158-1)/4)*100*25%+(1-(MAX(1,AC158:AE158)-1)/4)*100*20%)*55%,0))</x:f>
      </x:c>
      <x:c r="AI158" s="35" t="str">
        <x:f>IF(AH158="","",IF(AH158&gt;=85,"Excelente",IF(AH158&gt;=70,"Adequado",IF(AH158&gt;=50,"Atenção","Crítico"))))</x:f>
      </x:c>
    </x:row>
    <x:row r="159">
      <x:c r="A159" s="33"/>
      <x:c r="B159" s="33"/>
      <x:c r="C159" s="33"/>
      <x:c r="D159" s="33"/>
      <x:c r="E159" s="36"/>
      <x:c r="F159" s="36"/>
      <x:c r="G159" s="33"/>
      <x:c r="H159" s="33"/>
      <x:c r="I159" s="33"/>
      <x:c r="J159" s="33"/>
      <x:c r="K159" s="33"/>
      <x:c r="L159" s="33"/>
      <x:c r="M159" s="33"/>
      <x:c r="N159" s="37"/>
      <x:c r="O159" s="33"/>
      <x:c r="P159" s="33"/>
      <x:c r="Q159" s="33"/>
      <x:c r="R159" s="37"/>
      <x:c r="S159" s="33"/>
      <x:c r="T159" s="33"/>
      <x:c r="U159" s="33"/>
      <x:c r="V159" s="38"/>
      <x:c r="W159" s="34"/>
      <x:c r="X159" s="34"/>
      <x:c r="Y159" s="34"/>
      <x:c r="Z159" s="34"/>
      <x:c r="AA159" s="34"/>
      <x:c r="AB159" s="34"/>
      <x:c r="AC159" s="34"/>
      <x:c r="AD159" s="34"/>
      <x:c r="AE159" s="34"/>
      <x:c r="AF159" s="34"/>
      <x:c r="AG159" s="34"/>
      <x:c r="AH159" s="35" t="str">
        <x:f>IF(COUNTA(X159:AA159)&lt;4,"",ROUND((X159*20)*45%+(((Y159-1)/4*100)*30%+((Z159-1)/4*100)*25%+(1-(AA159-1)/4)*100*25%+(1-(MAX(1,AC159:AE159)-1)/4)*100*20%)*55%,0))</x:f>
      </x:c>
      <x:c r="AI159" s="35" t="str">
        <x:f>IF(AH159="","",IF(AH159&gt;=85,"Excelente",IF(AH159&gt;=70,"Adequado",IF(AH159&gt;=50,"Atenção","Crítico"))))</x:f>
      </x:c>
    </x:row>
    <x:row r="160">
      <x:c r="A160" s="33"/>
      <x:c r="B160" s="33"/>
      <x:c r="C160" s="33"/>
      <x:c r="D160" s="33"/>
      <x:c r="E160" s="36"/>
      <x:c r="F160" s="36"/>
      <x:c r="G160" s="33"/>
      <x:c r="H160" s="33"/>
      <x:c r="I160" s="33"/>
      <x:c r="J160" s="33"/>
      <x:c r="K160" s="33"/>
      <x:c r="L160" s="33"/>
      <x:c r="M160" s="33"/>
      <x:c r="N160" s="37"/>
      <x:c r="O160" s="33"/>
      <x:c r="P160" s="33"/>
      <x:c r="Q160" s="33"/>
      <x:c r="R160" s="37"/>
      <x:c r="S160" s="33"/>
      <x:c r="T160" s="33"/>
      <x:c r="U160" s="33"/>
      <x:c r="V160" s="38"/>
      <x:c r="W160" s="34"/>
      <x:c r="X160" s="34"/>
      <x:c r="Y160" s="34"/>
      <x:c r="Z160" s="34"/>
      <x:c r="AA160" s="34"/>
      <x:c r="AB160" s="34"/>
      <x:c r="AC160" s="34"/>
      <x:c r="AD160" s="34"/>
      <x:c r="AE160" s="34"/>
      <x:c r="AF160" s="34"/>
      <x:c r="AG160" s="34"/>
      <x:c r="AH160" s="35" t="str">
        <x:f>IF(COUNTA(X160:AA160)&lt;4,"",ROUND((X160*20)*45%+(((Y160-1)/4*100)*30%+((Z160-1)/4*100)*25%+(1-(AA160-1)/4)*100*25%+(1-(MAX(1,AC160:AE160)-1)/4)*100*20%)*55%,0))</x:f>
      </x:c>
      <x:c r="AI160" s="35" t="str">
        <x:f>IF(AH160="","",IF(AH160&gt;=85,"Excelente",IF(AH160&gt;=70,"Adequado",IF(AH160&gt;=50,"Atenção","Crítico"))))</x:f>
      </x:c>
    </x:row>
    <x:row r="161">
      <x:c r="A161" s="33"/>
      <x:c r="B161" s="33"/>
      <x:c r="C161" s="33"/>
      <x:c r="D161" s="33"/>
      <x:c r="E161" s="36"/>
      <x:c r="F161" s="36"/>
      <x:c r="G161" s="33"/>
      <x:c r="H161" s="33"/>
      <x:c r="I161" s="33"/>
      <x:c r="J161" s="33"/>
      <x:c r="K161" s="33"/>
      <x:c r="L161" s="33"/>
      <x:c r="M161" s="33"/>
      <x:c r="N161" s="37"/>
      <x:c r="O161" s="33"/>
      <x:c r="P161" s="33"/>
      <x:c r="Q161" s="33"/>
      <x:c r="R161" s="37"/>
      <x:c r="S161" s="33"/>
      <x:c r="T161" s="33"/>
      <x:c r="U161" s="33"/>
      <x:c r="V161" s="38"/>
      <x:c r="W161" s="34"/>
      <x:c r="X161" s="34"/>
      <x:c r="Y161" s="34"/>
      <x:c r="Z161" s="34"/>
      <x:c r="AA161" s="34"/>
      <x:c r="AB161" s="34"/>
      <x:c r="AC161" s="34"/>
      <x:c r="AD161" s="34"/>
      <x:c r="AE161" s="34"/>
      <x:c r="AF161" s="34"/>
      <x:c r="AG161" s="34"/>
      <x:c r="AH161" s="35" t="str">
        <x:f>IF(COUNTA(X161:AA161)&lt;4,"",ROUND((X161*20)*45%+(((Y161-1)/4*100)*30%+((Z161-1)/4*100)*25%+(1-(AA161-1)/4)*100*25%+(1-(MAX(1,AC161:AE161)-1)/4)*100*20%)*55%,0))</x:f>
      </x:c>
      <x:c r="AI161" s="35" t="str">
        <x:f>IF(AH161="","",IF(AH161&gt;=85,"Excelente",IF(AH161&gt;=70,"Adequado",IF(AH161&gt;=50,"Atenção","Crítico"))))</x:f>
      </x:c>
    </x:row>
    <x:row r="162">
      <x:c r="A162" s="33"/>
      <x:c r="B162" s="33"/>
      <x:c r="C162" s="33"/>
      <x:c r="D162" s="33"/>
      <x:c r="E162" s="36"/>
      <x:c r="F162" s="36"/>
      <x:c r="G162" s="33"/>
      <x:c r="H162" s="33"/>
      <x:c r="I162" s="33"/>
      <x:c r="J162" s="33"/>
      <x:c r="K162" s="33"/>
      <x:c r="L162" s="33"/>
      <x:c r="M162" s="33"/>
      <x:c r="N162" s="37"/>
      <x:c r="O162" s="33"/>
      <x:c r="P162" s="33"/>
      <x:c r="Q162" s="33"/>
      <x:c r="R162" s="37"/>
      <x:c r="S162" s="33"/>
      <x:c r="T162" s="33"/>
      <x:c r="U162" s="33"/>
      <x:c r="V162" s="38"/>
      <x:c r="W162" s="34"/>
      <x:c r="X162" s="34"/>
      <x:c r="Y162" s="34"/>
      <x:c r="Z162" s="34"/>
      <x:c r="AA162" s="34"/>
      <x:c r="AB162" s="34"/>
      <x:c r="AC162" s="34"/>
      <x:c r="AD162" s="34"/>
      <x:c r="AE162" s="34"/>
      <x:c r="AF162" s="34"/>
      <x:c r="AG162" s="34"/>
      <x:c r="AH162" s="35" t="str">
        <x:f>IF(COUNTA(X162:AA162)&lt;4,"",ROUND((X162*20)*45%+(((Y162-1)/4*100)*30%+((Z162-1)/4*100)*25%+(1-(AA162-1)/4)*100*25%+(1-(MAX(1,AC162:AE162)-1)/4)*100*20%)*55%,0))</x:f>
      </x:c>
      <x:c r="AI162" s="35" t="str">
        <x:f>IF(AH162="","",IF(AH162&gt;=85,"Excelente",IF(AH162&gt;=70,"Adequado",IF(AH162&gt;=50,"Atenção","Crítico"))))</x:f>
      </x:c>
    </x:row>
    <x:row r="163">
      <x:c r="A163" s="33"/>
      <x:c r="B163" s="33"/>
      <x:c r="C163" s="33"/>
      <x:c r="D163" s="33"/>
      <x:c r="E163" s="36"/>
      <x:c r="F163" s="36"/>
      <x:c r="G163" s="33"/>
      <x:c r="H163" s="33"/>
      <x:c r="I163" s="33"/>
      <x:c r="J163" s="33"/>
      <x:c r="K163" s="33"/>
      <x:c r="L163" s="33"/>
      <x:c r="M163" s="33"/>
      <x:c r="N163" s="37"/>
      <x:c r="O163" s="33"/>
      <x:c r="P163" s="33"/>
      <x:c r="Q163" s="33"/>
      <x:c r="R163" s="37"/>
      <x:c r="S163" s="33"/>
      <x:c r="T163" s="33"/>
      <x:c r="U163" s="33"/>
      <x:c r="V163" s="38"/>
      <x:c r="W163" s="34"/>
      <x:c r="X163" s="34"/>
      <x:c r="Y163" s="34"/>
      <x:c r="Z163" s="34"/>
      <x:c r="AA163" s="34"/>
      <x:c r="AB163" s="34"/>
      <x:c r="AC163" s="34"/>
      <x:c r="AD163" s="34"/>
      <x:c r="AE163" s="34"/>
      <x:c r="AF163" s="34"/>
      <x:c r="AG163" s="34"/>
      <x:c r="AH163" s="35" t="str">
        <x:f>IF(COUNTA(X163:AA163)&lt;4,"",ROUND((X163*20)*45%+(((Y163-1)/4*100)*30%+((Z163-1)/4*100)*25%+(1-(AA163-1)/4)*100*25%+(1-(MAX(1,AC163:AE163)-1)/4)*100*20%)*55%,0))</x:f>
      </x:c>
      <x:c r="AI163" s="35" t="str">
        <x:f>IF(AH163="","",IF(AH163&gt;=85,"Excelente",IF(AH163&gt;=70,"Adequado",IF(AH163&gt;=50,"Atenção","Crítico"))))</x:f>
      </x:c>
    </x:row>
    <x:row r="164">
      <x:c r="A164" s="33"/>
      <x:c r="B164" s="33"/>
      <x:c r="C164" s="33"/>
      <x:c r="D164" s="33"/>
      <x:c r="E164" s="36"/>
      <x:c r="F164" s="36"/>
      <x:c r="G164" s="33"/>
      <x:c r="H164" s="33"/>
      <x:c r="I164" s="33"/>
      <x:c r="J164" s="33"/>
      <x:c r="K164" s="33"/>
      <x:c r="L164" s="33"/>
      <x:c r="M164" s="33"/>
      <x:c r="N164" s="37"/>
      <x:c r="O164" s="33"/>
      <x:c r="P164" s="33"/>
      <x:c r="Q164" s="33"/>
      <x:c r="R164" s="37"/>
      <x:c r="S164" s="33"/>
      <x:c r="T164" s="33"/>
      <x:c r="U164" s="33"/>
      <x:c r="V164" s="38"/>
      <x:c r="W164" s="34"/>
      <x:c r="X164" s="34"/>
      <x:c r="Y164" s="34"/>
      <x:c r="Z164" s="34"/>
      <x:c r="AA164" s="34"/>
      <x:c r="AB164" s="34"/>
      <x:c r="AC164" s="34"/>
      <x:c r="AD164" s="34"/>
      <x:c r="AE164" s="34"/>
      <x:c r="AF164" s="34"/>
      <x:c r="AG164" s="34"/>
      <x:c r="AH164" s="35" t="str">
        <x:f>IF(COUNTA(X164:AA164)&lt;4,"",ROUND((X164*20)*45%+(((Y164-1)/4*100)*30%+((Z164-1)/4*100)*25%+(1-(AA164-1)/4)*100*25%+(1-(MAX(1,AC164:AE164)-1)/4)*100*20%)*55%,0))</x:f>
      </x:c>
      <x:c r="AI164" s="35" t="str">
        <x:f>IF(AH164="","",IF(AH164&gt;=85,"Excelente",IF(AH164&gt;=70,"Adequado",IF(AH164&gt;=50,"Atenção","Crítico"))))</x:f>
      </x:c>
    </x:row>
    <x:row r="165">
      <x:c r="A165" s="33"/>
      <x:c r="B165" s="33"/>
      <x:c r="C165" s="33"/>
      <x:c r="D165" s="33"/>
      <x:c r="E165" s="36"/>
      <x:c r="F165" s="36"/>
      <x:c r="G165" s="33"/>
      <x:c r="H165" s="33"/>
      <x:c r="I165" s="33"/>
      <x:c r="J165" s="33"/>
      <x:c r="K165" s="33"/>
      <x:c r="L165" s="33"/>
      <x:c r="M165" s="33"/>
      <x:c r="N165" s="37"/>
      <x:c r="O165" s="33"/>
      <x:c r="P165" s="33"/>
      <x:c r="Q165" s="33"/>
      <x:c r="R165" s="37"/>
      <x:c r="S165" s="33"/>
      <x:c r="T165" s="33"/>
      <x:c r="U165" s="33"/>
      <x:c r="V165" s="38"/>
      <x:c r="W165" s="34"/>
      <x:c r="X165" s="34"/>
      <x:c r="Y165" s="34"/>
      <x:c r="Z165" s="34"/>
      <x:c r="AA165" s="34"/>
      <x:c r="AB165" s="34"/>
      <x:c r="AC165" s="34"/>
      <x:c r="AD165" s="34"/>
      <x:c r="AE165" s="34"/>
      <x:c r="AF165" s="34"/>
      <x:c r="AG165" s="34"/>
      <x:c r="AH165" s="35" t="str">
        <x:f>IF(COUNTA(X165:AA165)&lt;4,"",ROUND((X165*20)*45%+(((Y165-1)/4*100)*30%+((Z165-1)/4*100)*25%+(1-(AA165-1)/4)*100*25%+(1-(MAX(1,AC165:AE165)-1)/4)*100*20%)*55%,0))</x:f>
      </x:c>
      <x:c r="AI165" s="35" t="str">
        <x:f>IF(AH165="","",IF(AH165&gt;=85,"Excelente",IF(AH165&gt;=70,"Adequado",IF(AH165&gt;=50,"Atenção","Crítico"))))</x:f>
      </x:c>
    </x:row>
    <x:row r="166">
      <x:c r="A166" s="33"/>
      <x:c r="B166" s="33"/>
      <x:c r="C166" s="33"/>
      <x:c r="D166" s="33"/>
      <x:c r="E166" s="36"/>
      <x:c r="F166" s="36"/>
      <x:c r="G166" s="33"/>
      <x:c r="H166" s="33"/>
      <x:c r="I166" s="33"/>
      <x:c r="J166" s="33"/>
      <x:c r="K166" s="33"/>
      <x:c r="L166" s="33"/>
      <x:c r="M166" s="33"/>
      <x:c r="N166" s="37"/>
      <x:c r="O166" s="33"/>
      <x:c r="P166" s="33"/>
      <x:c r="Q166" s="33"/>
      <x:c r="R166" s="37"/>
      <x:c r="S166" s="33"/>
      <x:c r="T166" s="33"/>
      <x:c r="U166" s="33"/>
      <x:c r="V166" s="38"/>
      <x:c r="W166" s="34"/>
      <x:c r="X166" s="34"/>
      <x:c r="Y166" s="34"/>
      <x:c r="Z166" s="34"/>
      <x:c r="AA166" s="34"/>
      <x:c r="AB166" s="34"/>
      <x:c r="AC166" s="34"/>
      <x:c r="AD166" s="34"/>
      <x:c r="AE166" s="34"/>
      <x:c r="AF166" s="34"/>
      <x:c r="AG166" s="34"/>
      <x:c r="AH166" s="35" t="str">
        <x:f>IF(COUNTA(X166:AA166)&lt;4,"",ROUND((X166*20)*45%+(((Y166-1)/4*100)*30%+((Z166-1)/4*100)*25%+(1-(AA166-1)/4)*100*25%+(1-(MAX(1,AC166:AE166)-1)/4)*100*20%)*55%,0))</x:f>
      </x:c>
      <x:c r="AI166" s="35" t="str">
        <x:f>IF(AH166="","",IF(AH166&gt;=85,"Excelente",IF(AH166&gt;=70,"Adequado",IF(AH166&gt;=50,"Atenção","Crítico"))))</x:f>
      </x:c>
    </x:row>
    <x:row r="167">
      <x:c r="A167" s="33"/>
      <x:c r="B167" s="33"/>
      <x:c r="C167" s="33"/>
      <x:c r="D167" s="33"/>
      <x:c r="E167" s="36"/>
      <x:c r="F167" s="36"/>
      <x:c r="G167" s="33"/>
      <x:c r="H167" s="33"/>
      <x:c r="I167" s="33"/>
      <x:c r="J167" s="33"/>
      <x:c r="K167" s="33"/>
      <x:c r="L167" s="33"/>
      <x:c r="M167" s="33"/>
      <x:c r="N167" s="37"/>
      <x:c r="O167" s="33"/>
      <x:c r="P167" s="33"/>
      <x:c r="Q167" s="33"/>
      <x:c r="R167" s="37"/>
      <x:c r="S167" s="33"/>
      <x:c r="T167" s="33"/>
      <x:c r="U167" s="33"/>
      <x:c r="V167" s="38"/>
      <x:c r="W167" s="34"/>
      <x:c r="X167" s="34"/>
      <x:c r="Y167" s="34"/>
      <x:c r="Z167" s="34"/>
      <x:c r="AA167" s="34"/>
      <x:c r="AB167" s="34"/>
      <x:c r="AC167" s="34"/>
      <x:c r="AD167" s="34"/>
      <x:c r="AE167" s="34"/>
      <x:c r="AF167" s="34"/>
      <x:c r="AG167" s="34"/>
      <x:c r="AH167" s="35" t="str">
        <x:f>IF(COUNTA(X167:AA167)&lt;4,"",ROUND((X167*20)*45%+(((Y167-1)/4*100)*30%+((Z167-1)/4*100)*25%+(1-(AA167-1)/4)*100*25%+(1-(MAX(1,AC167:AE167)-1)/4)*100*20%)*55%,0))</x:f>
      </x:c>
      <x:c r="AI167" s="35" t="str">
        <x:f>IF(AH167="","",IF(AH167&gt;=85,"Excelente",IF(AH167&gt;=70,"Adequado",IF(AH167&gt;=50,"Atenção","Crítico"))))</x:f>
      </x:c>
    </x:row>
    <x:row r="168">
      <x:c r="A168" s="33"/>
      <x:c r="B168" s="33"/>
      <x:c r="C168" s="33"/>
      <x:c r="D168" s="33"/>
      <x:c r="E168" s="36"/>
      <x:c r="F168" s="36"/>
      <x:c r="G168" s="33"/>
      <x:c r="H168" s="33"/>
      <x:c r="I168" s="33"/>
      <x:c r="J168" s="33"/>
      <x:c r="K168" s="33"/>
      <x:c r="L168" s="33"/>
      <x:c r="M168" s="33"/>
      <x:c r="N168" s="37"/>
      <x:c r="O168" s="33"/>
      <x:c r="P168" s="33"/>
      <x:c r="Q168" s="33"/>
      <x:c r="R168" s="37"/>
      <x:c r="S168" s="33"/>
      <x:c r="T168" s="33"/>
      <x:c r="U168" s="33"/>
      <x:c r="V168" s="38"/>
      <x:c r="W168" s="34"/>
      <x:c r="X168" s="34"/>
      <x:c r="Y168" s="34"/>
      <x:c r="Z168" s="34"/>
      <x:c r="AA168" s="34"/>
      <x:c r="AB168" s="34"/>
      <x:c r="AC168" s="34"/>
      <x:c r="AD168" s="34"/>
      <x:c r="AE168" s="34"/>
      <x:c r="AF168" s="34"/>
      <x:c r="AG168" s="34"/>
      <x:c r="AH168" s="35" t="str">
        <x:f>IF(COUNTA(X168:AA168)&lt;4,"",ROUND((X168*20)*45%+(((Y168-1)/4*100)*30%+((Z168-1)/4*100)*25%+(1-(AA168-1)/4)*100*25%+(1-(MAX(1,AC168:AE168)-1)/4)*100*20%)*55%,0))</x:f>
      </x:c>
      <x:c r="AI168" s="35" t="str">
        <x:f>IF(AH168="","",IF(AH168&gt;=85,"Excelente",IF(AH168&gt;=70,"Adequado",IF(AH168&gt;=50,"Atenção","Crítico"))))</x:f>
      </x:c>
    </x:row>
    <x:row r="169">
      <x:c r="A169" s="33"/>
      <x:c r="B169" s="33"/>
      <x:c r="C169" s="33"/>
      <x:c r="D169" s="33"/>
      <x:c r="E169" s="36"/>
      <x:c r="F169" s="36"/>
      <x:c r="G169" s="33"/>
      <x:c r="H169" s="33"/>
      <x:c r="I169" s="33"/>
      <x:c r="J169" s="33"/>
      <x:c r="K169" s="33"/>
      <x:c r="L169" s="33"/>
      <x:c r="M169" s="33"/>
      <x:c r="N169" s="37"/>
      <x:c r="O169" s="33"/>
      <x:c r="P169" s="33"/>
      <x:c r="Q169" s="33"/>
      <x:c r="R169" s="37"/>
      <x:c r="S169" s="33"/>
      <x:c r="T169" s="33"/>
      <x:c r="U169" s="33"/>
      <x:c r="V169" s="38"/>
      <x:c r="W169" s="34"/>
      <x:c r="X169" s="34"/>
      <x:c r="Y169" s="34"/>
      <x:c r="Z169" s="34"/>
      <x:c r="AA169" s="34"/>
      <x:c r="AB169" s="34"/>
      <x:c r="AC169" s="34"/>
      <x:c r="AD169" s="34"/>
      <x:c r="AE169" s="34"/>
      <x:c r="AF169" s="34"/>
      <x:c r="AG169" s="34"/>
      <x:c r="AH169" s="35" t="str">
        <x:f>IF(COUNTA(X169:AA169)&lt;4,"",ROUND((X169*20)*45%+(((Y169-1)/4*100)*30%+((Z169-1)/4*100)*25%+(1-(AA169-1)/4)*100*25%+(1-(MAX(1,AC169:AE169)-1)/4)*100*20%)*55%,0))</x:f>
      </x:c>
      <x:c r="AI169" s="35" t="str">
        <x:f>IF(AH169="","",IF(AH169&gt;=85,"Excelente",IF(AH169&gt;=70,"Adequado",IF(AH169&gt;=50,"Atenção","Crítico"))))</x:f>
      </x:c>
    </x:row>
    <x:row r="170">
      <x:c r="A170" s="33"/>
      <x:c r="B170" s="33"/>
      <x:c r="C170" s="33"/>
      <x:c r="D170" s="33"/>
      <x:c r="E170" s="36"/>
      <x:c r="F170" s="36"/>
      <x:c r="G170" s="33"/>
      <x:c r="H170" s="33"/>
      <x:c r="I170" s="33"/>
      <x:c r="J170" s="33"/>
      <x:c r="K170" s="33"/>
      <x:c r="L170" s="33"/>
      <x:c r="M170" s="33"/>
      <x:c r="N170" s="37"/>
      <x:c r="O170" s="33"/>
      <x:c r="P170" s="33"/>
      <x:c r="Q170" s="33"/>
      <x:c r="R170" s="37"/>
      <x:c r="S170" s="33"/>
      <x:c r="T170" s="33"/>
      <x:c r="U170" s="33"/>
      <x:c r="V170" s="38"/>
      <x:c r="W170" s="34"/>
      <x:c r="X170" s="34"/>
      <x:c r="Y170" s="34"/>
      <x:c r="Z170" s="34"/>
      <x:c r="AA170" s="34"/>
      <x:c r="AB170" s="34"/>
      <x:c r="AC170" s="34"/>
      <x:c r="AD170" s="34"/>
      <x:c r="AE170" s="34"/>
      <x:c r="AF170" s="34"/>
      <x:c r="AG170" s="34"/>
      <x:c r="AH170" s="35" t="str">
        <x:f>IF(COUNTA(X170:AA170)&lt;4,"",ROUND((X170*20)*45%+(((Y170-1)/4*100)*30%+((Z170-1)/4*100)*25%+(1-(AA170-1)/4)*100*25%+(1-(MAX(1,AC170:AE170)-1)/4)*100*20%)*55%,0))</x:f>
      </x:c>
      <x:c r="AI170" s="35" t="str">
        <x:f>IF(AH170="","",IF(AH170&gt;=85,"Excelente",IF(AH170&gt;=70,"Adequado",IF(AH170&gt;=50,"Atenção","Crítico"))))</x:f>
      </x:c>
    </x:row>
    <x:row r="171">
      <x:c r="A171" s="33"/>
      <x:c r="B171" s="33"/>
      <x:c r="C171" s="33"/>
      <x:c r="D171" s="33"/>
      <x:c r="E171" s="36"/>
      <x:c r="F171" s="36"/>
      <x:c r="G171" s="33"/>
      <x:c r="H171" s="33"/>
      <x:c r="I171" s="33"/>
      <x:c r="J171" s="33"/>
      <x:c r="K171" s="33"/>
      <x:c r="L171" s="33"/>
      <x:c r="M171" s="33"/>
      <x:c r="N171" s="37"/>
      <x:c r="O171" s="33"/>
      <x:c r="P171" s="33"/>
      <x:c r="Q171" s="33"/>
      <x:c r="R171" s="37"/>
      <x:c r="S171" s="33"/>
      <x:c r="T171" s="33"/>
      <x:c r="U171" s="33"/>
      <x:c r="V171" s="38"/>
      <x:c r="W171" s="34"/>
      <x:c r="X171" s="34"/>
      <x:c r="Y171" s="34"/>
      <x:c r="Z171" s="34"/>
      <x:c r="AA171" s="34"/>
      <x:c r="AB171" s="34"/>
      <x:c r="AC171" s="34"/>
      <x:c r="AD171" s="34"/>
      <x:c r="AE171" s="34"/>
      <x:c r="AF171" s="34"/>
      <x:c r="AG171" s="34"/>
      <x:c r="AH171" s="35" t="str">
        <x:f>IF(COUNTA(X171:AA171)&lt;4,"",ROUND((X171*20)*45%+(((Y171-1)/4*100)*30%+((Z171-1)/4*100)*25%+(1-(AA171-1)/4)*100*25%+(1-(MAX(1,AC171:AE171)-1)/4)*100*20%)*55%,0))</x:f>
      </x:c>
      <x:c r="AI171" s="35" t="str">
        <x:f>IF(AH171="","",IF(AH171&gt;=85,"Excelente",IF(AH171&gt;=70,"Adequado",IF(AH171&gt;=50,"Atenção","Crítico"))))</x:f>
      </x:c>
    </x:row>
    <x:row r="172">
      <x:c r="A172" s="33"/>
      <x:c r="B172" s="33"/>
      <x:c r="C172" s="33"/>
      <x:c r="D172" s="33"/>
      <x:c r="E172" s="36"/>
      <x:c r="F172" s="36"/>
      <x:c r="G172" s="33"/>
      <x:c r="H172" s="33"/>
      <x:c r="I172" s="33"/>
      <x:c r="J172" s="33"/>
      <x:c r="K172" s="33"/>
      <x:c r="L172" s="33"/>
      <x:c r="M172" s="33"/>
      <x:c r="N172" s="37"/>
      <x:c r="O172" s="33"/>
      <x:c r="P172" s="33"/>
      <x:c r="Q172" s="33"/>
      <x:c r="R172" s="37"/>
      <x:c r="S172" s="33"/>
      <x:c r="T172" s="33"/>
      <x:c r="U172" s="33"/>
      <x:c r="V172" s="38"/>
      <x:c r="W172" s="34"/>
      <x:c r="X172" s="34"/>
      <x:c r="Y172" s="34"/>
      <x:c r="Z172" s="34"/>
      <x:c r="AA172" s="34"/>
      <x:c r="AB172" s="34"/>
      <x:c r="AC172" s="34"/>
      <x:c r="AD172" s="34"/>
      <x:c r="AE172" s="34"/>
      <x:c r="AF172" s="34"/>
      <x:c r="AG172" s="34"/>
      <x:c r="AH172" s="35" t="str">
        <x:f>IF(COUNTA(X172:AA172)&lt;4,"",ROUND((X172*20)*45%+(((Y172-1)/4*100)*30%+((Z172-1)/4*100)*25%+(1-(AA172-1)/4)*100*25%+(1-(MAX(1,AC172:AE172)-1)/4)*100*20%)*55%,0))</x:f>
      </x:c>
      <x:c r="AI172" s="35" t="str">
        <x:f>IF(AH172="","",IF(AH172&gt;=85,"Excelente",IF(AH172&gt;=70,"Adequado",IF(AH172&gt;=50,"Atenção","Crítico"))))</x:f>
      </x:c>
    </x:row>
    <x:row r="173">
      <x:c r="A173" s="33"/>
      <x:c r="B173" s="33"/>
      <x:c r="C173" s="33"/>
      <x:c r="D173" s="33"/>
      <x:c r="E173" s="36"/>
      <x:c r="F173" s="36"/>
      <x:c r="G173" s="33"/>
      <x:c r="H173" s="33"/>
      <x:c r="I173" s="33"/>
      <x:c r="J173" s="33"/>
      <x:c r="K173" s="33"/>
      <x:c r="L173" s="33"/>
      <x:c r="M173" s="33"/>
      <x:c r="N173" s="37"/>
      <x:c r="O173" s="33"/>
      <x:c r="P173" s="33"/>
      <x:c r="Q173" s="33"/>
      <x:c r="R173" s="37"/>
      <x:c r="S173" s="33"/>
      <x:c r="T173" s="33"/>
      <x:c r="U173" s="33"/>
      <x:c r="V173" s="38"/>
      <x:c r="W173" s="34"/>
      <x:c r="X173" s="34"/>
      <x:c r="Y173" s="34"/>
      <x:c r="Z173" s="34"/>
      <x:c r="AA173" s="34"/>
      <x:c r="AB173" s="34"/>
      <x:c r="AC173" s="34"/>
      <x:c r="AD173" s="34"/>
      <x:c r="AE173" s="34"/>
      <x:c r="AF173" s="34"/>
      <x:c r="AG173" s="34"/>
      <x:c r="AH173" s="35" t="str">
        <x:f>IF(COUNTA(X173:AA173)&lt;4,"",ROUND((X173*20)*45%+(((Y173-1)/4*100)*30%+((Z173-1)/4*100)*25%+(1-(AA173-1)/4)*100*25%+(1-(MAX(1,AC173:AE173)-1)/4)*100*20%)*55%,0))</x:f>
      </x:c>
      <x:c r="AI173" s="35" t="str">
        <x:f>IF(AH173="","",IF(AH173&gt;=85,"Excelente",IF(AH173&gt;=70,"Adequado",IF(AH173&gt;=50,"Atenção","Crítico"))))</x:f>
      </x:c>
    </x:row>
    <x:row r="174">
      <x:c r="A174" s="33"/>
      <x:c r="B174" s="33"/>
      <x:c r="C174" s="33"/>
      <x:c r="D174" s="33"/>
      <x:c r="E174" s="36"/>
      <x:c r="F174" s="36"/>
      <x:c r="G174" s="33"/>
      <x:c r="H174" s="33"/>
      <x:c r="I174" s="33"/>
      <x:c r="J174" s="33"/>
      <x:c r="K174" s="33"/>
      <x:c r="L174" s="33"/>
      <x:c r="M174" s="33"/>
      <x:c r="N174" s="37"/>
      <x:c r="O174" s="33"/>
      <x:c r="P174" s="33"/>
      <x:c r="Q174" s="33"/>
      <x:c r="R174" s="37"/>
      <x:c r="S174" s="33"/>
      <x:c r="T174" s="33"/>
      <x:c r="U174" s="33"/>
      <x:c r="V174" s="38"/>
      <x:c r="W174" s="34"/>
      <x:c r="X174" s="34"/>
      <x:c r="Y174" s="34"/>
      <x:c r="Z174" s="34"/>
      <x:c r="AA174" s="34"/>
      <x:c r="AB174" s="34"/>
      <x:c r="AC174" s="34"/>
      <x:c r="AD174" s="34"/>
      <x:c r="AE174" s="34"/>
      <x:c r="AF174" s="34"/>
      <x:c r="AG174" s="34"/>
      <x:c r="AH174" s="35" t="str">
        <x:f>IF(COUNTA(X174:AA174)&lt;4,"",ROUND((X174*20)*45%+(((Y174-1)/4*100)*30%+((Z174-1)/4*100)*25%+(1-(AA174-1)/4)*100*25%+(1-(MAX(1,AC174:AE174)-1)/4)*100*20%)*55%,0))</x:f>
      </x:c>
      <x:c r="AI174" s="35" t="str">
        <x:f>IF(AH174="","",IF(AH174&gt;=85,"Excelente",IF(AH174&gt;=70,"Adequado",IF(AH174&gt;=50,"Atenção","Crítico"))))</x:f>
      </x:c>
    </x:row>
    <x:row r="175">
      <x:c r="A175" s="33"/>
      <x:c r="B175" s="33"/>
      <x:c r="C175" s="33"/>
      <x:c r="D175" s="33"/>
      <x:c r="E175" s="36"/>
      <x:c r="F175" s="36"/>
      <x:c r="G175" s="33"/>
      <x:c r="H175" s="33"/>
      <x:c r="I175" s="33"/>
      <x:c r="J175" s="33"/>
      <x:c r="K175" s="33"/>
      <x:c r="L175" s="33"/>
      <x:c r="M175" s="33"/>
      <x:c r="N175" s="37"/>
      <x:c r="O175" s="33"/>
      <x:c r="P175" s="33"/>
      <x:c r="Q175" s="33"/>
      <x:c r="R175" s="37"/>
      <x:c r="S175" s="33"/>
      <x:c r="T175" s="33"/>
      <x:c r="U175" s="33"/>
      <x:c r="V175" s="38"/>
      <x:c r="W175" s="34"/>
      <x:c r="X175" s="34"/>
      <x:c r="Y175" s="34"/>
      <x:c r="Z175" s="34"/>
      <x:c r="AA175" s="34"/>
      <x:c r="AB175" s="34"/>
      <x:c r="AC175" s="34"/>
      <x:c r="AD175" s="34"/>
      <x:c r="AE175" s="34"/>
      <x:c r="AF175" s="34"/>
      <x:c r="AG175" s="34"/>
      <x:c r="AH175" s="35" t="str">
        <x:f>IF(COUNTA(X175:AA175)&lt;4,"",ROUND((X175*20)*45%+(((Y175-1)/4*100)*30%+((Z175-1)/4*100)*25%+(1-(AA175-1)/4)*100*25%+(1-(MAX(1,AC175:AE175)-1)/4)*100*20%)*55%,0))</x:f>
      </x:c>
      <x:c r="AI175" s="35" t="str">
        <x:f>IF(AH175="","",IF(AH175&gt;=85,"Excelente",IF(AH175&gt;=70,"Adequado",IF(AH175&gt;=50,"Atenção","Crítico"))))</x:f>
      </x:c>
    </x:row>
    <x:row r="176">
      <x:c r="A176" s="33"/>
      <x:c r="B176" s="33"/>
      <x:c r="C176" s="33"/>
      <x:c r="D176" s="33"/>
      <x:c r="E176" s="36"/>
      <x:c r="F176" s="36"/>
      <x:c r="G176" s="33"/>
      <x:c r="H176" s="33"/>
      <x:c r="I176" s="33"/>
      <x:c r="J176" s="33"/>
      <x:c r="K176" s="33"/>
      <x:c r="L176" s="33"/>
      <x:c r="M176" s="33"/>
      <x:c r="N176" s="37"/>
      <x:c r="O176" s="33"/>
      <x:c r="P176" s="33"/>
      <x:c r="Q176" s="33"/>
      <x:c r="R176" s="37"/>
      <x:c r="S176" s="33"/>
      <x:c r="T176" s="33"/>
      <x:c r="U176" s="33"/>
      <x:c r="V176" s="38"/>
      <x:c r="W176" s="34"/>
      <x:c r="X176" s="34"/>
      <x:c r="Y176" s="34"/>
      <x:c r="Z176" s="34"/>
      <x:c r="AA176" s="34"/>
      <x:c r="AB176" s="34"/>
      <x:c r="AC176" s="34"/>
      <x:c r="AD176" s="34"/>
      <x:c r="AE176" s="34"/>
      <x:c r="AF176" s="34"/>
      <x:c r="AG176" s="34"/>
      <x:c r="AH176" s="35" t="str">
        <x:f>IF(COUNTA(X176:AA176)&lt;4,"",ROUND((X176*20)*45%+(((Y176-1)/4*100)*30%+((Z176-1)/4*100)*25%+(1-(AA176-1)/4)*100*25%+(1-(MAX(1,AC176:AE176)-1)/4)*100*20%)*55%,0))</x:f>
      </x:c>
      <x:c r="AI176" s="35" t="str">
        <x:f>IF(AH176="","",IF(AH176&gt;=85,"Excelente",IF(AH176&gt;=70,"Adequado",IF(AH176&gt;=50,"Atenção","Crítico"))))</x:f>
      </x:c>
    </x:row>
    <x:row r="177">
      <x:c r="A177" s="33"/>
      <x:c r="B177" s="33"/>
      <x:c r="C177" s="33"/>
      <x:c r="D177" s="33"/>
      <x:c r="E177" s="36"/>
      <x:c r="F177" s="36"/>
      <x:c r="G177" s="33"/>
      <x:c r="H177" s="33"/>
      <x:c r="I177" s="33"/>
      <x:c r="J177" s="33"/>
      <x:c r="K177" s="33"/>
      <x:c r="L177" s="33"/>
      <x:c r="M177" s="33"/>
      <x:c r="N177" s="37"/>
      <x:c r="O177" s="33"/>
      <x:c r="P177" s="33"/>
      <x:c r="Q177" s="33"/>
      <x:c r="R177" s="37"/>
      <x:c r="S177" s="33"/>
      <x:c r="T177" s="33"/>
      <x:c r="U177" s="33"/>
      <x:c r="V177" s="38"/>
      <x:c r="W177" s="34"/>
      <x:c r="X177" s="34"/>
      <x:c r="Y177" s="34"/>
      <x:c r="Z177" s="34"/>
      <x:c r="AA177" s="34"/>
      <x:c r="AB177" s="34"/>
      <x:c r="AC177" s="34"/>
      <x:c r="AD177" s="34"/>
      <x:c r="AE177" s="34"/>
      <x:c r="AF177" s="34"/>
      <x:c r="AG177" s="34"/>
      <x:c r="AH177" s="35" t="str">
        <x:f>IF(COUNTA(X177:AA177)&lt;4,"",ROUND((X177*20)*45%+(((Y177-1)/4*100)*30%+((Z177-1)/4*100)*25%+(1-(AA177-1)/4)*100*25%+(1-(MAX(1,AC177:AE177)-1)/4)*100*20%)*55%,0))</x:f>
      </x:c>
      <x:c r="AI177" s="35" t="str">
        <x:f>IF(AH177="","",IF(AH177&gt;=85,"Excelente",IF(AH177&gt;=70,"Adequado",IF(AH177&gt;=50,"Atenção","Crítico"))))</x:f>
      </x:c>
    </x:row>
    <x:row r="178">
      <x:c r="A178" s="33"/>
      <x:c r="B178" s="33"/>
      <x:c r="C178" s="33"/>
      <x:c r="D178" s="33"/>
      <x:c r="E178" s="36"/>
      <x:c r="F178" s="36"/>
      <x:c r="G178" s="33"/>
      <x:c r="H178" s="33"/>
      <x:c r="I178" s="33"/>
      <x:c r="J178" s="33"/>
      <x:c r="K178" s="33"/>
      <x:c r="L178" s="33"/>
      <x:c r="M178" s="33"/>
      <x:c r="N178" s="37"/>
      <x:c r="O178" s="33"/>
      <x:c r="P178" s="33"/>
      <x:c r="Q178" s="33"/>
      <x:c r="R178" s="37"/>
      <x:c r="S178" s="33"/>
      <x:c r="T178" s="33"/>
      <x:c r="U178" s="33"/>
      <x:c r="V178" s="38"/>
      <x:c r="W178" s="34"/>
      <x:c r="X178" s="34"/>
      <x:c r="Y178" s="34"/>
      <x:c r="Z178" s="34"/>
      <x:c r="AA178" s="34"/>
      <x:c r="AB178" s="34"/>
      <x:c r="AC178" s="34"/>
      <x:c r="AD178" s="34"/>
      <x:c r="AE178" s="34"/>
      <x:c r="AF178" s="34"/>
      <x:c r="AG178" s="34"/>
      <x:c r="AH178" s="35" t="str">
        <x:f>IF(COUNTA(X178:AA178)&lt;4,"",ROUND((X178*20)*45%+(((Y178-1)/4*100)*30%+((Z178-1)/4*100)*25%+(1-(AA178-1)/4)*100*25%+(1-(MAX(1,AC178:AE178)-1)/4)*100*20%)*55%,0))</x:f>
      </x:c>
      <x:c r="AI178" s="35" t="str">
        <x:f>IF(AH178="","",IF(AH178&gt;=85,"Excelente",IF(AH178&gt;=70,"Adequado",IF(AH178&gt;=50,"Atenção","Crítico"))))</x:f>
      </x:c>
    </x:row>
    <x:row r="179">
      <x:c r="A179" s="33"/>
      <x:c r="B179" s="33"/>
      <x:c r="C179" s="33"/>
      <x:c r="D179" s="33"/>
      <x:c r="E179" s="36"/>
      <x:c r="F179" s="36"/>
      <x:c r="G179" s="33"/>
      <x:c r="H179" s="33"/>
      <x:c r="I179" s="33"/>
      <x:c r="J179" s="33"/>
      <x:c r="K179" s="33"/>
      <x:c r="L179" s="33"/>
      <x:c r="M179" s="33"/>
      <x:c r="N179" s="37"/>
      <x:c r="O179" s="33"/>
      <x:c r="P179" s="33"/>
      <x:c r="Q179" s="33"/>
      <x:c r="R179" s="37"/>
      <x:c r="S179" s="33"/>
      <x:c r="T179" s="33"/>
      <x:c r="U179" s="33"/>
      <x:c r="V179" s="38"/>
      <x:c r="W179" s="34"/>
      <x:c r="X179" s="34"/>
      <x:c r="Y179" s="34"/>
      <x:c r="Z179" s="34"/>
      <x:c r="AA179" s="34"/>
      <x:c r="AB179" s="34"/>
      <x:c r="AC179" s="34"/>
      <x:c r="AD179" s="34"/>
      <x:c r="AE179" s="34"/>
      <x:c r="AF179" s="34"/>
      <x:c r="AG179" s="34"/>
      <x:c r="AH179" s="35" t="str">
        <x:f>IF(COUNTA(X179:AA179)&lt;4,"",ROUND((X179*20)*45%+(((Y179-1)/4*100)*30%+((Z179-1)/4*100)*25%+(1-(AA179-1)/4)*100*25%+(1-(MAX(1,AC179:AE179)-1)/4)*100*20%)*55%,0))</x:f>
      </x:c>
      <x:c r="AI179" s="35" t="str">
        <x:f>IF(AH179="","",IF(AH179&gt;=85,"Excelente",IF(AH179&gt;=70,"Adequado",IF(AH179&gt;=50,"Atenção","Crítico"))))</x:f>
      </x:c>
    </x:row>
    <x:row r="180">
      <x:c r="A180" s="33"/>
      <x:c r="B180" s="33"/>
      <x:c r="C180" s="33"/>
      <x:c r="D180" s="33"/>
      <x:c r="E180" s="36"/>
      <x:c r="F180" s="36"/>
      <x:c r="G180" s="33"/>
      <x:c r="H180" s="33"/>
      <x:c r="I180" s="33"/>
      <x:c r="J180" s="33"/>
      <x:c r="K180" s="33"/>
      <x:c r="L180" s="33"/>
      <x:c r="M180" s="33"/>
      <x:c r="N180" s="37"/>
      <x:c r="O180" s="33"/>
      <x:c r="P180" s="33"/>
      <x:c r="Q180" s="33"/>
      <x:c r="R180" s="37"/>
      <x:c r="S180" s="33"/>
      <x:c r="T180" s="33"/>
      <x:c r="U180" s="33"/>
      <x:c r="V180" s="38"/>
      <x:c r="W180" s="34"/>
      <x:c r="X180" s="34"/>
      <x:c r="Y180" s="34"/>
      <x:c r="Z180" s="34"/>
      <x:c r="AA180" s="34"/>
      <x:c r="AB180" s="34"/>
      <x:c r="AC180" s="34"/>
      <x:c r="AD180" s="34"/>
      <x:c r="AE180" s="34"/>
      <x:c r="AF180" s="34"/>
      <x:c r="AG180" s="34"/>
      <x:c r="AH180" s="35" t="str">
        <x:f>IF(COUNTA(X180:AA180)&lt;4,"",ROUND((X180*20)*45%+(((Y180-1)/4*100)*30%+((Z180-1)/4*100)*25%+(1-(AA180-1)/4)*100*25%+(1-(MAX(1,AC180:AE180)-1)/4)*100*20%)*55%,0))</x:f>
      </x:c>
      <x:c r="AI180" s="35" t="str">
        <x:f>IF(AH180="","",IF(AH180&gt;=85,"Excelente",IF(AH180&gt;=70,"Adequado",IF(AH180&gt;=50,"Atenção","Crítico"))))</x:f>
      </x:c>
    </x:row>
    <x:row r="181">
      <x:c r="A181" s="33"/>
      <x:c r="B181" s="33"/>
      <x:c r="C181" s="33"/>
      <x:c r="D181" s="33"/>
      <x:c r="E181" s="36"/>
      <x:c r="F181" s="36"/>
      <x:c r="G181" s="33"/>
      <x:c r="H181" s="33"/>
      <x:c r="I181" s="33"/>
      <x:c r="J181" s="33"/>
      <x:c r="K181" s="33"/>
      <x:c r="L181" s="33"/>
      <x:c r="M181" s="33"/>
      <x:c r="N181" s="37"/>
      <x:c r="O181" s="33"/>
      <x:c r="P181" s="33"/>
      <x:c r="Q181" s="33"/>
      <x:c r="R181" s="37"/>
      <x:c r="S181" s="33"/>
      <x:c r="T181" s="33"/>
      <x:c r="U181" s="33"/>
      <x:c r="V181" s="38"/>
      <x:c r="W181" s="34"/>
      <x:c r="X181" s="34"/>
      <x:c r="Y181" s="34"/>
      <x:c r="Z181" s="34"/>
      <x:c r="AA181" s="34"/>
      <x:c r="AB181" s="34"/>
      <x:c r="AC181" s="34"/>
      <x:c r="AD181" s="34"/>
      <x:c r="AE181" s="34"/>
      <x:c r="AF181" s="34"/>
      <x:c r="AG181" s="34"/>
      <x:c r="AH181" s="35" t="str">
        <x:f>IF(COUNTA(X181:AA181)&lt;4,"",ROUND((X181*20)*45%+(((Y181-1)/4*100)*30%+((Z181-1)/4*100)*25%+(1-(AA181-1)/4)*100*25%+(1-(MAX(1,AC181:AE181)-1)/4)*100*20%)*55%,0))</x:f>
      </x:c>
      <x:c r="AI181" s="35" t="str">
        <x:f>IF(AH181="","",IF(AH181&gt;=85,"Excelente",IF(AH181&gt;=70,"Adequado",IF(AH181&gt;=50,"Atenção","Crítico"))))</x:f>
      </x:c>
    </x:row>
    <x:row r="182">
      <x:c r="A182" s="33"/>
      <x:c r="B182" s="33"/>
      <x:c r="C182" s="33"/>
      <x:c r="D182" s="33"/>
      <x:c r="E182" s="36"/>
      <x:c r="F182" s="36"/>
      <x:c r="G182" s="33"/>
      <x:c r="H182" s="33"/>
      <x:c r="I182" s="33"/>
      <x:c r="J182" s="33"/>
      <x:c r="K182" s="33"/>
      <x:c r="L182" s="33"/>
      <x:c r="M182" s="33"/>
      <x:c r="N182" s="37"/>
      <x:c r="O182" s="33"/>
      <x:c r="P182" s="33"/>
      <x:c r="Q182" s="33"/>
      <x:c r="R182" s="37"/>
      <x:c r="S182" s="33"/>
      <x:c r="T182" s="33"/>
      <x:c r="U182" s="33"/>
      <x:c r="V182" s="38"/>
      <x:c r="W182" s="34"/>
      <x:c r="X182" s="34"/>
      <x:c r="Y182" s="34"/>
      <x:c r="Z182" s="34"/>
      <x:c r="AA182" s="34"/>
      <x:c r="AB182" s="34"/>
      <x:c r="AC182" s="34"/>
      <x:c r="AD182" s="34"/>
      <x:c r="AE182" s="34"/>
      <x:c r="AF182" s="34"/>
      <x:c r="AG182" s="34"/>
      <x:c r="AH182" s="35" t="str">
        <x:f>IF(COUNTA(X182:AA182)&lt;4,"",ROUND((X182*20)*45%+(((Y182-1)/4*100)*30%+((Z182-1)/4*100)*25%+(1-(AA182-1)/4)*100*25%+(1-(MAX(1,AC182:AE182)-1)/4)*100*20%)*55%,0))</x:f>
      </x:c>
      <x:c r="AI182" s="35" t="str">
        <x:f>IF(AH182="","",IF(AH182&gt;=85,"Excelente",IF(AH182&gt;=70,"Adequado",IF(AH182&gt;=50,"Atenção","Crítico"))))</x:f>
      </x:c>
    </x:row>
    <x:row r="183">
      <x:c r="A183" s="33"/>
      <x:c r="B183" s="33"/>
      <x:c r="C183" s="33"/>
      <x:c r="D183" s="33"/>
      <x:c r="E183" s="36"/>
      <x:c r="F183" s="36"/>
      <x:c r="G183" s="33"/>
      <x:c r="H183" s="33"/>
      <x:c r="I183" s="33"/>
      <x:c r="J183" s="33"/>
      <x:c r="K183" s="33"/>
      <x:c r="L183" s="33"/>
      <x:c r="M183" s="33"/>
      <x:c r="N183" s="37"/>
      <x:c r="O183" s="33"/>
      <x:c r="P183" s="33"/>
      <x:c r="Q183" s="33"/>
      <x:c r="R183" s="37"/>
      <x:c r="S183" s="33"/>
      <x:c r="T183" s="33"/>
      <x:c r="U183" s="33"/>
      <x:c r="V183" s="38"/>
      <x:c r="W183" s="34"/>
      <x:c r="X183" s="34"/>
      <x:c r="Y183" s="34"/>
      <x:c r="Z183" s="34"/>
      <x:c r="AA183" s="34"/>
      <x:c r="AB183" s="34"/>
      <x:c r="AC183" s="34"/>
      <x:c r="AD183" s="34"/>
      <x:c r="AE183" s="34"/>
      <x:c r="AF183" s="34"/>
      <x:c r="AG183" s="34"/>
      <x:c r="AH183" s="35" t="str">
        <x:f>IF(COUNTA(X183:AA183)&lt;4,"",ROUND((X183*20)*45%+(((Y183-1)/4*100)*30%+((Z183-1)/4*100)*25%+(1-(AA183-1)/4)*100*25%+(1-(MAX(1,AC183:AE183)-1)/4)*100*20%)*55%,0))</x:f>
      </x:c>
      <x:c r="AI183" s="35" t="str">
        <x:f>IF(AH183="","",IF(AH183&gt;=85,"Excelente",IF(AH183&gt;=70,"Adequado",IF(AH183&gt;=50,"Atenção","Crítico"))))</x:f>
      </x:c>
    </x:row>
    <x:row r="184">
      <x:c r="A184" s="33"/>
      <x:c r="B184" s="33"/>
      <x:c r="C184" s="33"/>
      <x:c r="D184" s="33"/>
      <x:c r="E184" s="36"/>
      <x:c r="F184" s="36"/>
      <x:c r="G184" s="33"/>
      <x:c r="H184" s="33"/>
      <x:c r="I184" s="33"/>
      <x:c r="J184" s="33"/>
      <x:c r="K184" s="33"/>
      <x:c r="L184" s="33"/>
      <x:c r="M184" s="33"/>
      <x:c r="N184" s="37"/>
      <x:c r="O184" s="33"/>
      <x:c r="P184" s="33"/>
      <x:c r="Q184" s="33"/>
      <x:c r="R184" s="37"/>
      <x:c r="S184" s="33"/>
      <x:c r="T184" s="33"/>
      <x:c r="U184" s="33"/>
      <x:c r="V184" s="38"/>
      <x:c r="W184" s="34"/>
      <x:c r="X184" s="34"/>
      <x:c r="Y184" s="34"/>
      <x:c r="Z184" s="34"/>
      <x:c r="AA184" s="34"/>
      <x:c r="AB184" s="34"/>
      <x:c r="AC184" s="34"/>
      <x:c r="AD184" s="34"/>
      <x:c r="AE184" s="34"/>
      <x:c r="AF184" s="34"/>
      <x:c r="AG184" s="34"/>
      <x:c r="AH184" s="35" t="str">
        <x:f>IF(COUNTA(X184:AA184)&lt;4,"",ROUND((X184*20)*45%+(((Y184-1)/4*100)*30%+((Z184-1)/4*100)*25%+(1-(AA184-1)/4)*100*25%+(1-(MAX(1,AC184:AE184)-1)/4)*100*20%)*55%,0))</x:f>
      </x:c>
      <x:c r="AI184" s="35" t="str">
        <x:f>IF(AH184="","",IF(AH184&gt;=85,"Excelente",IF(AH184&gt;=70,"Adequado",IF(AH184&gt;=50,"Atenção","Crítico"))))</x:f>
      </x:c>
    </x:row>
    <x:row r="185">
      <x:c r="A185" s="33"/>
      <x:c r="B185" s="33"/>
      <x:c r="C185" s="33"/>
      <x:c r="D185" s="33"/>
      <x:c r="E185" s="36"/>
      <x:c r="F185" s="36"/>
      <x:c r="G185" s="33"/>
      <x:c r="H185" s="33"/>
      <x:c r="I185" s="33"/>
      <x:c r="J185" s="33"/>
      <x:c r="K185" s="33"/>
      <x:c r="L185" s="33"/>
      <x:c r="M185" s="33"/>
      <x:c r="N185" s="37"/>
      <x:c r="O185" s="33"/>
      <x:c r="P185" s="33"/>
      <x:c r="Q185" s="33"/>
      <x:c r="R185" s="37"/>
      <x:c r="S185" s="33"/>
      <x:c r="T185" s="33"/>
      <x:c r="U185" s="33"/>
      <x:c r="V185" s="38"/>
      <x:c r="W185" s="34"/>
      <x:c r="X185" s="34"/>
      <x:c r="Y185" s="34"/>
      <x:c r="Z185" s="34"/>
      <x:c r="AA185" s="34"/>
      <x:c r="AB185" s="34"/>
      <x:c r="AC185" s="34"/>
      <x:c r="AD185" s="34"/>
      <x:c r="AE185" s="34"/>
      <x:c r="AF185" s="34"/>
      <x:c r="AG185" s="34"/>
      <x:c r="AH185" s="35" t="str">
        <x:f>IF(COUNTA(X185:AA185)&lt;4,"",ROUND((X185*20)*45%+(((Y185-1)/4*100)*30%+((Z185-1)/4*100)*25%+(1-(AA185-1)/4)*100*25%+(1-(MAX(1,AC185:AE185)-1)/4)*100*20%)*55%,0))</x:f>
      </x:c>
      <x:c r="AI185" s="35" t="str">
        <x:f>IF(AH185="","",IF(AH185&gt;=85,"Excelente",IF(AH185&gt;=70,"Adequado",IF(AH185&gt;=50,"Atenção","Crítico"))))</x:f>
      </x:c>
    </x:row>
    <x:row r="186">
      <x:c r="A186" s="33"/>
      <x:c r="B186" s="33"/>
      <x:c r="C186" s="33"/>
      <x:c r="D186" s="33"/>
      <x:c r="E186" s="36"/>
      <x:c r="F186" s="36"/>
      <x:c r="G186" s="33"/>
      <x:c r="H186" s="33"/>
      <x:c r="I186" s="33"/>
      <x:c r="J186" s="33"/>
      <x:c r="K186" s="33"/>
      <x:c r="L186" s="33"/>
      <x:c r="M186" s="33"/>
      <x:c r="N186" s="37"/>
      <x:c r="O186" s="33"/>
      <x:c r="P186" s="33"/>
      <x:c r="Q186" s="33"/>
      <x:c r="R186" s="37"/>
      <x:c r="S186" s="33"/>
      <x:c r="T186" s="33"/>
      <x:c r="U186" s="33"/>
      <x:c r="V186" s="38"/>
      <x:c r="W186" s="34"/>
      <x:c r="X186" s="34"/>
      <x:c r="Y186" s="34"/>
      <x:c r="Z186" s="34"/>
      <x:c r="AA186" s="34"/>
      <x:c r="AB186" s="34"/>
      <x:c r="AC186" s="34"/>
      <x:c r="AD186" s="34"/>
      <x:c r="AE186" s="34"/>
      <x:c r="AF186" s="34"/>
      <x:c r="AG186" s="34"/>
      <x:c r="AH186" s="35" t="str">
        <x:f>IF(COUNTA(X186:AA186)&lt;4,"",ROUND((X186*20)*45%+(((Y186-1)/4*100)*30%+((Z186-1)/4*100)*25%+(1-(AA186-1)/4)*100*25%+(1-(MAX(1,AC186:AE186)-1)/4)*100*20%)*55%,0))</x:f>
      </x:c>
      <x:c r="AI186" s="35" t="str">
        <x:f>IF(AH186="","",IF(AH186&gt;=85,"Excelente",IF(AH186&gt;=70,"Adequado",IF(AH186&gt;=50,"Atenção","Crítico"))))</x:f>
      </x:c>
    </x:row>
    <x:row r="187">
      <x:c r="A187" s="33"/>
      <x:c r="B187" s="33"/>
      <x:c r="C187" s="33"/>
      <x:c r="D187" s="33"/>
      <x:c r="E187" s="36"/>
      <x:c r="F187" s="36"/>
      <x:c r="G187" s="33"/>
      <x:c r="H187" s="33"/>
      <x:c r="I187" s="33"/>
      <x:c r="J187" s="33"/>
      <x:c r="K187" s="33"/>
      <x:c r="L187" s="33"/>
      <x:c r="M187" s="33"/>
      <x:c r="N187" s="37"/>
      <x:c r="O187" s="33"/>
      <x:c r="P187" s="33"/>
      <x:c r="Q187" s="33"/>
      <x:c r="R187" s="37"/>
      <x:c r="S187" s="33"/>
      <x:c r="T187" s="33"/>
      <x:c r="U187" s="33"/>
      <x:c r="V187" s="38"/>
      <x:c r="W187" s="34"/>
      <x:c r="X187" s="34"/>
      <x:c r="Y187" s="34"/>
      <x:c r="Z187" s="34"/>
      <x:c r="AA187" s="34"/>
      <x:c r="AB187" s="34"/>
      <x:c r="AC187" s="34"/>
      <x:c r="AD187" s="34"/>
      <x:c r="AE187" s="34"/>
      <x:c r="AF187" s="34"/>
      <x:c r="AG187" s="34"/>
      <x:c r="AH187" s="35" t="str">
        <x:f>IF(COUNTA(X187:AA187)&lt;4,"",ROUND((X187*20)*45%+(((Y187-1)/4*100)*30%+((Z187-1)/4*100)*25%+(1-(AA187-1)/4)*100*25%+(1-(MAX(1,AC187:AE187)-1)/4)*100*20%)*55%,0))</x:f>
      </x:c>
      <x:c r="AI187" s="35" t="str">
        <x:f>IF(AH187="","",IF(AH187&gt;=85,"Excelente",IF(AH187&gt;=70,"Adequado",IF(AH187&gt;=50,"Atenção","Crítico"))))</x:f>
      </x:c>
    </x:row>
    <x:row r="188">
      <x:c r="A188" s="33"/>
      <x:c r="B188" s="33"/>
      <x:c r="C188" s="33"/>
      <x:c r="D188" s="33"/>
      <x:c r="E188" s="36"/>
      <x:c r="F188" s="36"/>
      <x:c r="G188" s="33"/>
      <x:c r="H188" s="33"/>
      <x:c r="I188" s="33"/>
      <x:c r="J188" s="33"/>
      <x:c r="K188" s="33"/>
      <x:c r="L188" s="33"/>
      <x:c r="M188" s="33"/>
      <x:c r="N188" s="37"/>
      <x:c r="O188" s="33"/>
      <x:c r="P188" s="33"/>
      <x:c r="Q188" s="33"/>
      <x:c r="R188" s="37"/>
      <x:c r="S188" s="33"/>
      <x:c r="T188" s="33"/>
      <x:c r="U188" s="33"/>
      <x:c r="V188" s="38"/>
      <x:c r="W188" s="34"/>
      <x:c r="X188" s="34"/>
      <x:c r="Y188" s="34"/>
      <x:c r="Z188" s="34"/>
      <x:c r="AA188" s="34"/>
      <x:c r="AB188" s="34"/>
      <x:c r="AC188" s="34"/>
      <x:c r="AD188" s="34"/>
      <x:c r="AE188" s="34"/>
      <x:c r="AF188" s="34"/>
      <x:c r="AG188" s="34"/>
      <x:c r="AH188" s="35" t="str">
        <x:f>IF(COUNTA(X188:AA188)&lt;4,"",ROUND((X188*20)*45%+(((Y188-1)/4*100)*30%+((Z188-1)/4*100)*25%+(1-(AA188-1)/4)*100*25%+(1-(MAX(1,AC188:AE188)-1)/4)*100*20%)*55%,0))</x:f>
      </x:c>
      <x:c r="AI188" s="35" t="str">
        <x:f>IF(AH188="","",IF(AH188&gt;=85,"Excelente",IF(AH188&gt;=70,"Adequado",IF(AH188&gt;=50,"Atenção","Crítico"))))</x:f>
      </x:c>
    </x:row>
    <x:row r="189">
      <x:c r="A189" s="33"/>
      <x:c r="B189" s="33"/>
      <x:c r="C189" s="33"/>
      <x:c r="D189" s="33"/>
      <x:c r="E189" s="36"/>
      <x:c r="F189" s="36"/>
      <x:c r="G189" s="33"/>
      <x:c r="H189" s="33"/>
      <x:c r="I189" s="33"/>
      <x:c r="J189" s="33"/>
      <x:c r="K189" s="33"/>
      <x:c r="L189" s="33"/>
      <x:c r="M189" s="33"/>
      <x:c r="N189" s="37"/>
      <x:c r="O189" s="33"/>
      <x:c r="P189" s="33"/>
      <x:c r="Q189" s="33"/>
      <x:c r="R189" s="37"/>
      <x:c r="S189" s="33"/>
      <x:c r="T189" s="33"/>
      <x:c r="U189" s="33"/>
      <x:c r="V189" s="38"/>
      <x:c r="W189" s="34"/>
      <x:c r="X189" s="34"/>
      <x:c r="Y189" s="34"/>
      <x:c r="Z189" s="34"/>
      <x:c r="AA189" s="34"/>
      <x:c r="AB189" s="34"/>
      <x:c r="AC189" s="34"/>
      <x:c r="AD189" s="34"/>
      <x:c r="AE189" s="34"/>
      <x:c r="AF189" s="34"/>
      <x:c r="AG189" s="34"/>
      <x:c r="AH189" s="35" t="str">
        <x:f>IF(COUNTA(X189:AA189)&lt;4,"",ROUND((X189*20)*45%+(((Y189-1)/4*100)*30%+((Z189-1)/4*100)*25%+(1-(AA189-1)/4)*100*25%+(1-(MAX(1,AC189:AE189)-1)/4)*100*20%)*55%,0))</x:f>
      </x:c>
      <x:c r="AI189" s="35" t="str">
        <x:f>IF(AH189="","",IF(AH189&gt;=85,"Excelente",IF(AH189&gt;=70,"Adequado",IF(AH189&gt;=50,"Atenção","Crítico"))))</x:f>
      </x:c>
    </x:row>
    <x:row r="190">
      <x:c r="A190" s="33"/>
      <x:c r="B190" s="33"/>
      <x:c r="C190" s="33"/>
      <x:c r="D190" s="33"/>
      <x:c r="E190" s="36"/>
      <x:c r="F190" s="36"/>
      <x:c r="G190" s="33"/>
      <x:c r="H190" s="33"/>
      <x:c r="I190" s="33"/>
      <x:c r="J190" s="33"/>
      <x:c r="K190" s="33"/>
      <x:c r="L190" s="33"/>
      <x:c r="M190" s="33"/>
      <x:c r="N190" s="37"/>
      <x:c r="O190" s="33"/>
      <x:c r="P190" s="33"/>
      <x:c r="Q190" s="33"/>
      <x:c r="R190" s="37"/>
      <x:c r="S190" s="33"/>
      <x:c r="T190" s="33"/>
      <x:c r="U190" s="33"/>
      <x:c r="V190" s="38"/>
      <x:c r="W190" s="34"/>
      <x:c r="X190" s="34"/>
      <x:c r="Y190" s="34"/>
      <x:c r="Z190" s="34"/>
      <x:c r="AA190" s="34"/>
      <x:c r="AB190" s="34"/>
      <x:c r="AC190" s="34"/>
      <x:c r="AD190" s="34"/>
      <x:c r="AE190" s="34"/>
      <x:c r="AF190" s="34"/>
      <x:c r="AG190" s="34"/>
      <x:c r="AH190" s="35" t="str">
        <x:f>IF(COUNTA(X190:AA190)&lt;4,"",ROUND((X190*20)*45%+(((Y190-1)/4*100)*30%+((Z190-1)/4*100)*25%+(1-(AA190-1)/4)*100*25%+(1-(MAX(1,AC190:AE190)-1)/4)*100*20%)*55%,0))</x:f>
      </x:c>
      <x:c r="AI190" s="35" t="str">
        <x:f>IF(AH190="","",IF(AH190&gt;=85,"Excelente",IF(AH190&gt;=70,"Adequado",IF(AH190&gt;=50,"Atenção","Crítico"))))</x:f>
      </x:c>
    </x:row>
    <x:row r="191">
      <x:c r="A191" s="33"/>
      <x:c r="B191" s="33"/>
      <x:c r="C191" s="33"/>
      <x:c r="D191" s="33"/>
      <x:c r="E191" s="36"/>
      <x:c r="F191" s="36"/>
      <x:c r="G191" s="33"/>
      <x:c r="H191" s="33"/>
      <x:c r="I191" s="33"/>
      <x:c r="J191" s="33"/>
      <x:c r="K191" s="33"/>
      <x:c r="L191" s="33"/>
      <x:c r="M191" s="33"/>
      <x:c r="N191" s="37"/>
      <x:c r="O191" s="33"/>
      <x:c r="P191" s="33"/>
      <x:c r="Q191" s="33"/>
      <x:c r="R191" s="37"/>
      <x:c r="S191" s="33"/>
      <x:c r="T191" s="33"/>
      <x:c r="U191" s="33"/>
      <x:c r="V191" s="38"/>
      <x:c r="W191" s="34"/>
      <x:c r="X191" s="34"/>
      <x:c r="Y191" s="34"/>
      <x:c r="Z191" s="34"/>
      <x:c r="AA191" s="34"/>
      <x:c r="AB191" s="34"/>
      <x:c r="AC191" s="34"/>
      <x:c r="AD191" s="34"/>
      <x:c r="AE191" s="34"/>
      <x:c r="AF191" s="34"/>
      <x:c r="AG191" s="34"/>
      <x:c r="AH191" s="35" t="str">
        <x:f>IF(COUNTA(X191:AA191)&lt;4,"",ROUND((X191*20)*45%+(((Y191-1)/4*100)*30%+((Z191-1)/4*100)*25%+(1-(AA191-1)/4)*100*25%+(1-(MAX(1,AC191:AE191)-1)/4)*100*20%)*55%,0))</x:f>
      </x:c>
      <x:c r="AI191" s="35" t="str">
        <x:f>IF(AH191="","",IF(AH191&gt;=85,"Excelente",IF(AH191&gt;=70,"Adequado",IF(AH191&gt;=50,"Atenção","Crítico"))))</x:f>
      </x:c>
    </x:row>
    <x:row r="192">
      <x:c r="A192" s="33"/>
      <x:c r="B192" s="33"/>
      <x:c r="C192" s="33"/>
      <x:c r="D192" s="33"/>
      <x:c r="E192" s="36"/>
      <x:c r="F192" s="36"/>
      <x:c r="G192" s="33"/>
      <x:c r="H192" s="33"/>
      <x:c r="I192" s="33"/>
      <x:c r="J192" s="33"/>
      <x:c r="K192" s="33"/>
      <x:c r="L192" s="33"/>
      <x:c r="M192" s="33"/>
      <x:c r="N192" s="37"/>
      <x:c r="O192" s="33"/>
      <x:c r="P192" s="33"/>
      <x:c r="Q192" s="33"/>
      <x:c r="R192" s="37"/>
      <x:c r="S192" s="33"/>
      <x:c r="T192" s="33"/>
      <x:c r="U192" s="33"/>
      <x:c r="V192" s="38"/>
      <x:c r="W192" s="34"/>
      <x:c r="X192" s="34"/>
      <x:c r="Y192" s="34"/>
      <x:c r="Z192" s="34"/>
      <x:c r="AA192" s="34"/>
      <x:c r="AB192" s="34"/>
      <x:c r="AC192" s="34"/>
      <x:c r="AD192" s="34"/>
      <x:c r="AE192" s="34"/>
      <x:c r="AF192" s="34"/>
      <x:c r="AG192" s="34"/>
      <x:c r="AH192" s="35" t="str">
        <x:f>IF(COUNTA(X192:AA192)&lt;4,"",ROUND((X192*20)*45%+(((Y192-1)/4*100)*30%+((Z192-1)/4*100)*25%+(1-(AA192-1)/4)*100*25%+(1-(MAX(1,AC192:AE192)-1)/4)*100*20%)*55%,0))</x:f>
      </x:c>
      <x:c r="AI192" s="35" t="str">
        <x:f>IF(AH192="","",IF(AH192&gt;=85,"Excelente",IF(AH192&gt;=70,"Adequado",IF(AH192&gt;=50,"Atenção","Crítico"))))</x:f>
      </x:c>
    </x:row>
    <x:row r="193">
      <x:c r="A193" s="33"/>
      <x:c r="B193" s="33"/>
      <x:c r="C193" s="33"/>
      <x:c r="D193" s="33"/>
      <x:c r="E193" s="36"/>
      <x:c r="F193" s="36"/>
      <x:c r="G193" s="33"/>
      <x:c r="H193" s="33"/>
      <x:c r="I193" s="33"/>
      <x:c r="J193" s="33"/>
      <x:c r="K193" s="33"/>
      <x:c r="L193" s="33"/>
      <x:c r="M193" s="33"/>
      <x:c r="N193" s="37"/>
      <x:c r="O193" s="33"/>
      <x:c r="P193" s="33"/>
      <x:c r="Q193" s="33"/>
      <x:c r="R193" s="37"/>
      <x:c r="S193" s="33"/>
      <x:c r="T193" s="33"/>
      <x:c r="U193" s="33"/>
      <x:c r="V193" s="38"/>
      <x:c r="W193" s="34"/>
      <x:c r="X193" s="34"/>
      <x:c r="Y193" s="34"/>
      <x:c r="Z193" s="34"/>
      <x:c r="AA193" s="34"/>
      <x:c r="AB193" s="34"/>
      <x:c r="AC193" s="34"/>
      <x:c r="AD193" s="34"/>
      <x:c r="AE193" s="34"/>
      <x:c r="AF193" s="34"/>
      <x:c r="AG193" s="34"/>
      <x:c r="AH193" s="35" t="str">
        <x:f>IF(COUNTA(X193:AA193)&lt;4,"",ROUND((X193*20)*45%+(((Y193-1)/4*100)*30%+((Z193-1)/4*100)*25%+(1-(AA193-1)/4)*100*25%+(1-(MAX(1,AC193:AE193)-1)/4)*100*20%)*55%,0))</x:f>
      </x:c>
      <x:c r="AI193" s="35" t="str">
        <x:f>IF(AH193="","",IF(AH193&gt;=85,"Excelente",IF(AH193&gt;=70,"Adequado",IF(AH193&gt;=50,"Atenção","Crítico"))))</x:f>
      </x:c>
    </x:row>
    <x:row r="194">
      <x:c r="A194" s="33"/>
      <x:c r="B194" s="33"/>
      <x:c r="C194" s="33"/>
      <x:c r="D194" s="33"/>
      <x:c r="E194" s="36"/>
      <x:c r="F194" s="36"/>
      <x:c r="G194" s="33"/>
      <x:c r="H194" s="33"/>
      <x:c r="I194" s="33"/>
      <x:c r="J194" s="33"/>
      <x:c r="K194" s="33"/>
      <x:c r="L194" s="33"/>
      <x:c r="M194" s="33"/>
      <x:c r="N194" s="37"/>
      <x:c r="O194" s="33"/>
      <x:c r="P194" s="33"/>
      <x:c r="Q194" s="33"/>
      <x:c r="R194" s="37"/>
      <x:c r="S194" s="33"/>
      <x:c r="T194" s="33"/>
      <x:c r="U194" s="33"/>
      <x:c r="V194" s="38"/>
      <x:c r="W194" s="34"/>
      <x:c r="X194" s="34"/>
      <x:c r="Y194" s="34"/>
      <x:c r="Z194" s="34"/>
      <x:c r="AA194" s="34"/>
      <x:c r="AB194" s="34"/>
      <x:c r="AC194" s="34"/>
      <x:c r="AD194" s="34"/>
      <x:c r="AE194" s="34"/>
      <x:c r="AF194" s="34"/>
      <x:c r="AG194" s="34"/>
      <x:c r="AH194" s="35" t="str">
        <x:f>IF(COUNTA(X194:AA194)&lt;4,"",ROUND((X194*20)*45%+(((Y194-1)/4*100)*30%+((Z194-1)/4*100)*25%+(1-(AA194-1)/4)*100*25%+(1-(MAX(1,AC194:AE194)-1)/4)*100*20%)*55%,0))</x:f>
      </x:c>
      <x:c r="AI194" s="35" t="str">
        <x:f>IF(AH194="","",IF(AH194&gt;=85,"Excelente",IF(AH194&gt;=70,"Adequado",IF(AH194&gt;=50,"Atenção","Crítico"))))</x:f>
      </x:c>
    </x:row>
    <x:row r="195">
      <x:c r="A195" s="33"/>
      <x:c r="B195" s="33"/>
      <x:c r="C195" s="33"/>
      <x:c r="D195" s="33"/>
      <x:c r="E195" s="36"/>
      <x:c r="F195" s="36"/>
      <x:c r="G195" s="33"/>
      <x:c r="H195" s="33"/>
      <x:c r="I195" s="33"/>
      <x:c r="J195" s="33"/>
      <x:c r="K195" s="33"/>
      <x:c r="L195" s="33"/>
      <x:c r="M195" s="33"/>
      <x:c r="N195" s="37"/>
      <x:c r="O195" s="33"/>
      <x:c r="P195" s="33"/>
      <x:c r="Q195" s="33"/>
      <x:c r="R195" s="37"/>
      <x:c r="S195" s="33"/>
      <x:c r="T195" s="33"/>
      <x:c r="U195" s="33"/>
      <x:c r="V195" s="38"/>
      <x:c r="W195" s="34"/>
      <x:c r="X195" s="34"/>
      <x:c r="Y195" s="34"/>
      <x:c r="Z195" s="34"/>
      <x:c r="AA195" s="34"/>
      <x:c r="AB195" s="34"/>
      <x:c r="AC195" s="34"/>
      <x:c r="AD195" s="34"/>
      <x:c r="AE195" s="34"/>
      <x:c r="AF195" s="34"/>
      <x:c r="AG195" s="34"/>
      <x:c r="AH195" s="35" t="str">
        <x:f>IF(COUNTA(X195:AA195)&lt;4,"",ROUND((X195*20)*45%+(((Y195-1)/4*100)*30%+((Z195-1)/4*100)*25%+(1-(AA195-1)/4)*100*25%+(1-(MAX(1,AC195:AE195)-1)/4)*100*20%)*55%,0))</x:f>
      </x:c>
      <x:c r="AI195" s="35" t="str">
        <x:f>IF(AH195="","",IF(AH195&gt;=85,"Excelente",IF(AH195&gt;=70,"Adequado",IF(AH195&gt;=50,"Atenção","Crítico"))))</x:f>
      </x:c>
    </x:row>
    <x:row r="196">
      <x:c r="A196" s="33"/>
      <x:c r="B196" s="33"/>
      <x:c r="C196" s="33"/>
      <x:c r="D196" s="33"/>
      <x:c r="E196" s="36"/>
      <x:c r="F196" s="36"/>
      <x:c r="G196" s="33"/>
      <x:c r="H196" s="33"/>
      <x:c r="I196" s="33"/>
      <x:c r="J196" s="33"/>
      <x:c r="K196" s="33"/>
      <x:c r="L196" s="33"/>
      <x:c r="M196" s="33"/>
      <x:c r="N196" s="37"/>
      <x:c r="O196" s="33"/>
      <x:c r="P196" s="33"/>
      <x:c r="Q196" s="33"/>
      <x:c r="R196" s="37"/>
      <x:c r="S196" s="33"/>
      <x:c r="T196" s="33"/>
      <x:c r="U196" s="33"/>
      <x:c r="V196" s="38"/>
      <x:c r="W196" s="34"/>
      <x:c r="X196" s="34"/>
      <x:c r="Y196" s="34"/>
      <x:c r="Z196" s="34"/>
      <x:c r="AA196" s="34"/>
      <x:c r="AB196" s="34"/>
      <x:c r="AC196" s="34"/>
      <x:c r="AD196" s="34"/>
      <x:c r="AE196" s="34"/>
      <x:c r="AF196" s="34"/>
      <x:c r="AG196" s="34"/>
      <x:c r="AH196" s="35" t="str">
        <x:f>IF(COUNTA(X196:AA196)&lt;4,"",ROUND((X196*20)*45%+(((Y196-1)/4*100)*30%+((Z196-1)/4*100)*25%+(1-(AA196-1)/4)*100*25%+(1-(MAX(1,AC196:AE196)-1)/4)*100*20%)*55%,0))</x:f>
      </x:c>
      <x:c r="AI196" s="35" t="str">
        <x:f>IF(AH196="","",IF(AH196&gt;=85,"Excelente",IF(AH196&gt;=70,"Adequado",IF(AH196&gt;=50,"Atenção","Crítico"))))</x:f>
      </x:c>
    </x:row>
    <x:row r="197">
      <x:c r="A197" s="33"/>
      <x:c r="B197" s="33"/>
      <x:c r="C197" s="33"/>
      <x:c r="D197" s="33"/>
      <x:c r="E197" s="36"/>
      <x:c r="F197" s="36"/>
      <x:c r="G197" s="33"/>
      <x:c r="H197" s="33"/>
      <x:c r="I197" s="33"/>
      <x:c r="J197" s="33"/>
      <x:c r="K197" s="33"/>
      <x:c r="L197" s="33"/>
      <x:c r="M197" s="33"/>
      <x:c r="N197" s="37"/>
      <x:c r="O197" s="33"/>
      <x:c r="P197" s="33"/>
      <x:c r="Q197" s="33"/>
      <x:c r="R197" s="37"/>
      <x:c r="S197" s="33"/>
      <x:c r="T197" s="33"/>
      <x:c r="U197" s="33"/>
      <x:c r="V197" s="38"/>
      <x:c r="W197" s="34"/>
      <x:c r="X197" s="34"/>
      <x:c r="Y197" s="34"/>
      <x:c r="Z197" s="34"/>
      <x:c r="AA197" s="34"/>
      <x:c r="AB197" s="34"/>
      <x:c r="AC197" s="34"/>
      <x:c r="AD197" s="34"/>
      <x:c r="AE197" s="34"/>
      <x:c r="AF197" s="34"/>
      <x:c r="AG197" s="34"/>
      <x:c r="AH197" s="35" t="str">
        <x:f>IF(COUNTA(X197:AA197)&lt;4,"",ROUND((X197*20)*45%+(((Y197-1)/4*100)*30%+((Z197-1)/4*100)*25%+(1-(AA197-1)/4)*100*25%+(1-(MAX(1,AC197:AE197)-1)/4)*100*20%)*55%,0))</x:f>
      </x:c>
      <x:c r="AI197" s="35" t="str">
        <x:f>IF(AH197="","",IF(AH197&gt;=85,"Excelente",IF(AH197&gt;=70,"Adequado",IF(AH197&gt;=50,"Atenção","Crítico"))))</x:f>
      </x:c>
    </x:row>
    <x:row r="198">
      <x:c r="A198" s="33"/>
      <x:c r="B198" s="33"/>
      <x:c r="C198" s="33"/>
      <x:c r="D198" s="33"/>
      <x:c r="E198" s="36"/>
      <x:c r="F198" s="36"/>
      <x:c r="G198" s="33"/>
      <x:c r="H198" s="33"/>
      <x:c r="I198" s="33"/>
      <x:c r="J198" s="33"/>
      <x:c r="K198" s="33"/>
      <x:c r="L198" s="33"/>
      <x:c r="M198" s="33"/>
      <x:c r="N198" s="37"/>
      <x:c r="O198" s="33"/>
      <x:c r="P198" s="33"/>
      <x:c r="Q198" s="33"/>
      <x:c r="R198" s="37"/>
      <x:c r="S198" s="33"/>
      <x:c r="T198" s="33"/>
      <x:c r="U198" s="33"/>
      <x:c r="V198" s="38"/>
      <x:c r="W198" s="34"/>
      <x:c r="X198" s="34"/>
      <x:c r="Y198" s="34"/>
      <x:c r="Z198" s="34"/>
      <x:c r="AA198" s="34"/>
      <x:c r="AB198" s="34"/>
      <x:c r="AC198" s="34"/>
      <x:c r="AD198" s="34"/>
      <x:c r="AE198" s="34"/>
      <x:c r="AF198" s="34"/>
      <x:c r="AG198" s="34"/>
      <x:c r="AH198" s="35" t="str">
        <x:f>IF(COUNTA(X198:AA198)&lt;4,"",ROUND((X198*20)*45%+(((Y198-1)/4*100)*30%+((Z198-1)/4*100)*25%+(1-(AA198-1)/4)*100*25%+(1-(MAX(1,AC198:AE198)-1)/4)*100*20%)*55%,0))</x:f>
      </x:c>
      <x:c r="AI198" s="35" t="str">
        <x:f>IF(AH198="","",IF(AH198&gt;=85,"Excelente",IF(AH198&gt;=70,"Adequado",IF(AH198&gt;=50,"Atenção","Crítico"))))</x:f>
      </x:c>
    </x:row>
    <x:row r="199">
      <x:c r="A199" s="33"/>
      <x:c r="B199" s="33"/>
      <x:c r="C199" s="33"/>
      <x:c r="D199" s="33"/>
      <x:c r="E199" s="36"/>
      <x:c r="F199" s="36"/>
      <x:c r="G199" s="33"/>
      <x:c r="H199" s="33"/>
      <x:c r="I199" s="33"/>
      <x:c r="J199" s="33"/>
      <x:c r="K199" s="33"/>
      <x:c r="L199" s="33"/>
      <x:c r="M199" s="33"/>
      <x:c r="N199" s="37"/>
      <x:c r="O199" s="33"/>
      <x:c r="P199" s="33"/>
      <x:c r="Q199" s="33"/>
      <x:c r="R199" s="37"/>
      <x:c r="S199" s="33"/>
      <x:c r="T199" s="33"/>
      <x:c r="U199" s="33"/>
      <x:c r="V199" s="38"/>
      <x:c r="W199" s="34"/>
      <x:c r="X199" s="34"/>
      <x:c r="Y199" s="34"/>
      <x:c r="Z199" s="34"/>
      <x:c r="AA199" s="34"/>
      <x:c r="AB199" s="34"/>
      <x:c r="AC199" s="34"/>
      <x:c r="AD199" s="34"/>
      <x:c r="AE199" s="34"/>
      <x:c r="AF199" s="34"/>
      <x:c r="AG199" s="34"/>
      <x:c r="AH199" s="35" t="str">
        <x:f>IF(COUNTA(X199:AA199)&lt;4,"",ROUND((X199*20)*45%+(((Y199-1)/4*100)*30%+((Z199-1)/4*100)*25%+(1-(AA199-1)/4)*100*25%+(1-(MAX(1,AC199:AE199)-1)/4)*100*20%)*55%,0))</x:f>
      </x:c>
      <x:c r="AI199" s="35" t="str">
        <x:f>IF(AH199="","",IF(AH199&gt;=85,"Excelente",IF(AH199&gt;=70,"Adequado",IF(AH199&gt;=50,"Atenção","Crítico"))))</x:f>
      </x:c>
    </x:row>
    <x:row r="200">
      <x:c r="A200" s="33"/>
      <x:c r="B200" s="33"/>
      <x:c r="C200" s="33"/>
      <x:c r="D200" s="33"/>
      <x:c r="E200" s="36"/>
      <x:c r="F200" s="36"/>
      <x:c r="G200" s="33"/>
      <x:c r="H200" s="33"/>
      <x:c r="I200" s="33"/>
      <x:c r="J200" s="33"/>
      <x:c r="K200" s="33"/>
      <x:c r="L200" s="33"/>
      <x:c r="M200" s="33"/>
      <x:c r="N200" s="37"/>
      <x:c r="O200" s="33"/>
      <x:c r="P200" s="33"/>
      <x:c r="Q200" s="33"/>
      <x:c r="R200" s="37"/>
      <x:c r="S200" s="33"/>
      <x:c r="T200" s="33"/>
      <x:c r="U200" s="33"/>
      <x:c r="V200" s="38"/>
      <x:c r="W200" s="34"/>
      <x:c r="X200" s="34"/>
      <x:c r="Y200" s="34"/>
      <x:c r="Z200" s="34"/>
      <x:c r="AA200" s="34"/>
      <x:c r="AB200" s="34"/>
      <x:c r="AC200" s="34"/>
      <x:c r="AD200" s="34"/>
      <x:c r="AE200" s="34"/>
      <x:c r="AF200" s="34"/>
      <x:c r="AG200" s="34"/>
      <x:c r="AH200" s="35" t="str">
        <x:f>IF(COUNTA(X200:AA200)&lt;4,"",ROUND((X200*20)*45%+(((Y200-1)/4*100)*30%+((Z200-1)/4*100)*25%+(1-(AA200-1)/4)*100*25%+(1-(MAX(1,AC200:AE200)-1)/4)*100*20%)*55%,0))</x:f>
      </x:c>
      <x:c r="AI200" s="35" t="str">
        <x:f>IF(AH200="","",IF(AH200&gt;=85,"Excelente",IF(AH200&gt;=70,"Adequado",IF(AH200&gt;=50,"Atenção","Crítico"))))</x:f>
      </x:c>
    </x:row>
    <x:row r="201">
      <x:c r="A201" s="33"/>
      <x:c r="B201" s="33"/>
      <x:c r="C201" s="33"/>
      <x:c r="D201" s="33"/>
      <x:c r="E201" s="36"/>
      <x:c r="F201" s="36"/>
      <x:c r="G201" s="33"/>
      <x:c r="H201" s="33"/>
      <x:c r="I201" s="33"/>
      <x:c r="J201" s="33"/>
      <x:c r="K201" s="33"/>
      <x:c r="L201" s="33"/>
      <x:c r="M201" s="33"/>
      <x:c r="N201" s="37"/>
      <x:c r="O201" s="33"/>
      <x:c r="P201" s="33"/>
      <x:c r="Q201" s="33"/>
      <x:c r="R201" s="37"/>
      <x:c r="S201" s="33"/>
      <x:c r="T201" s="33"/>
      <x:c r="U201" s="33"/>
      <x:c r="V201" s="38"/>
      <x:c r="W201" s="34"/>
      <x:c r="X201" s="34"/>
      <x:c r="Y201" s="34"/>
      <x:c r="Z201" s="34"/>
      <x:c r="AA201" s="34"/>
      <x:c r="AB201" s="34"/>
      <x:c r="AC201" s="34"/>
      <x:c r="AD201" s="34"/>
      <x:c r="AE201" s="34"/>
      <x:c r="AF201" s="34"/>
      <x:c r="AG201" s="34"/>
      <x:c r="AH201" s="35" t="str">
        <x:f>IF(COUNTA(X201:AA201)&lt;4,"",ROUND((X201*20)*45%+(((Y201-1)/4*100)*30%+((Z201-1)/4*100)*25%+(1-(AA201-1)/4)*100*25%+(1-(MAX(1,AC201:AE201)-1)/4)*100*20%)*55%,0))</x:f>
      </x:c>
      <x:c r="AI201" s="35" t="str">
        <x:f>IF(AH201="","",IF(AH201&gt;=85,"Excelente",IF(AH201&gt;=70,"Adequado",IF(AH201&gt;=50,"Atenção","Crítico"))))</x:f>
      </x:c>
    </x:row>
    <x:row r="202">
      <x:c r="A202" s="33"/>
      <x:c r="B202" s="33"/>
      <x:c r="C202" s="33"/>
      <x:c r="D202" s="33"/>
      <x:c r="E202" s="36"/>
      <x:c r="F202" s="36"/>
      <x:c r="G202" s="33"/>
      <x:c r="H202" s="33"/>
      <x:c r="I202" s="33"/>
      <x:c r="J202" s="33"/>
      <x:c r="K202" s="33"/>
      <x:c r="L202" s="33"/>
      <x:c r="M202" s="33"/>
      <x:c r="N202" s="37"/>
      <x:c r="O202" s="33"/>
      <x:c r="P202" s="33"/>
      <x:c r="Q202" s="33"/>
      <x:c r="R202" s="37"/>
      <x:c r="S202" s="33"/>
      <x:c r="T202" s="33"/>
      <x:c r="U202" s="33"/>
      <x:c r="V202" s="38"/>
      <x:c r="W202" s="34"/>
      <x:c r="X202" s="34"/>
      <x:c r="Y202" s="34"/>
      <x:c r="Z202" s="34"/>
      <x:c r="AA202" s="34"/>
      <x:c r="AB202" s="34"/>
      <x:c r="AC202" s="34"/>
      <x:c r="AD202" s="34"/>
      <x:c r="AE202" s="34"/>
      <x:c r="AF202" s="34"/>
      <x:c r="AG202" s="34"/>
      <x:c r="AH202" s="35" t="str">
        <x:f>IF(COUNTA(X202:AA202)&lt;4,"",ROUND((X202*20)*45%+(((Y202-1)/4*100)*30%+((Z202-1)/4*100)*25%+(1-(AA202-1)/4)*100*25%+(1-(MAX(1,AC202:AE202)-1)/4)*100*20%)*55%,0))</x:f>
      </x:c>
      <x:c r="AI202" s="35" t="str">
        <x:f>IF(AH202="","",IF(AH202&gt;=85,"Excelente",IF(AH202&gt;=70,"Adequado",IF(AH202&gt;=50,"Atenção","Crítico"))))</x:f>
      </x:c>
    </x:row>
    <x:row r="203">
      <x:c r="A203" s="33"/>
      <x:c r="B203" s="33"/>
      <x:c r="C203" s="33"/>
      <x:c r="D203" s="33"/>
      <x:c r="E203" s="36"/>
      <x:c r="F203" s="36"/>
      <x:c r="G203" s="33"/>
      <x:c r="H203" s="33"/>
      <x:c r="I203" s="33"/>
      <x:c r="J203" s="33"/>
      <x:c r="K203" s="33"/>
      <x:c r="L203" s="33"/>
      <x:c r="M203" s="33"/>
      <x:c r="N203" s="37"/>
      <x:c r="O203" s="33"/>
      <x:c r="P203" s="33"/>
      <x:c r="Q203" s="33"/>
      <x:c r="R203" s="37"/>
      <x:c r="S203" s="33"/>
      <x:c r="T203" s="33"/>
      <x:c r="U203" s="33"/>
      <x:c r="V203" s="38"/>
      <x:c r="W203" s="34"/>
      <x:c r="X203" s="34"/>
      <x:c r="Y203" s="34"/>
      <x:c r="Z203" s="34"/>
      <x:c r="AA203" s="34"/>
      <x:c r="AB203" s="34"/>
      <x:c r="AC203" s="34"/>
      <x:c r="AD203" s="34"/>
      <x:c r="AE203" s="34"/>
      <x:c r="AF203" s="34"/>
      <x:c r="AG203" s="34"/>
      <x:c r="AH203" s="35" t="str">
        <x:f>IF(COUNTA(X203:AA203)&lt;4,"",ROUND((X203*20)*45%+(((Y203-1)/4*100)*30%+((Z203-1)/4*100)*25%+(1-(AA203-1)/4)*100*25%+(1-(MAX(1,AC203:AE203)-1)/4)*100*20%)*55%,0))</x:f>
      </x:c>
      <x:c r="AI203" s="35" t="str">
        <x:f>IF(AH203="","",IF(AH203&gt;=85,"Excelente",IF(AH203&gt;=70,"Adequado",IF(AH203&gt;=50,"Atenção","Crítico"))))</x:f>
      </x:c>
    </x:row>
    <x:row r="204">
      <x:c r="A204" s="33"/>
      <x:c r="B204" s="33"/>
      <x:c r="C204" s="33"/>
      <x:c r="D204" s="33"/>
      <x:c r="E204" s="36"/>
      <x:c r="F204" s="36"/>
      <x:c r="G204" s="33"/>
      <x:c r="H204" s="33"/>
      <x:c r="I204" s="33"/>
      <x:c r="J204" s="33"/>
      <x:c r="K204" s="33"/>
      <x:c r="L204" s="33"/>
      <x:c r="M204" s="33"/>
      <x:c r="N204" s="37"/>
      <x:c r="O204" s="33"/>
      <x:c r="P204" s="33"/>
      <x:c r="Q204" s="33"/>
      <x:c r="R204" s="37"/>
      <x:c r="S204" s="33"/>
      <x:c r="T204" s="33"/>
      <x:c r="U204" s="33"/>
      <x:c r="V204" s="38"/>
      <x:c r="W204" s="34"/>
      <x:c r="X204" s="34"/>
      <x:c r="Y204" s="34"/>
      <x:c r="Z204" s="34"/>
      <x:c r="AA204" s="34"/>
      <x:c r="AB204" s="34"/>
      <x:c r="AC204" s="34"/>
      <x:c r="AD204" s="34"/>
      <x:c r="AE204" s="34"/>
      <x:c r="AF204" s="34"/>
      <x:c r="AG204" s="34"/>
      <x:c r="AH204" s="35" t="str">
        <x:f>IF(COUNTA(X204:AA204)&lt;4,"",ROUND((X204*20)*45%+(((Y204-1)/4*100)*30%+((Z204-1)/4*100)*25%+(1-(AA204-1)/4)*100*25%+(1-(MAX(1,AC204:AE204)-1)/4)*100*20%)*55%,0))</x:f>
      </x:c>
      <x:c r="AI204" s="35" t="str">
        <x:f>IF(AH204="","",IF(AH204&gt;=85,"Excelente",IF(AH204&gt;=70,"Adequado",IF(AH204&gt;=50,"Atenção","Crítico"))))</x:f>
      </x:c>
    </x:row>
    <x:row r="205">
      <x:c r="A205" s="33"/>
      <x:c r="B205" s="33"/>
      <x:c r="C205" s="33"/>
      <x:c r="D205" s="33"/>
      <x:c r="E205" s="36"/>
      <x:c r="F205" s="36"/>
      <x:c r="G205" s="33"/>
      <x:c r="H205" s="33"/>
      <x:c r="I205" s="33"/>
      <x:c r="J205" s="33"/>
      <x:c r="K205" s="33"/>
      <x:c r="L205" s="33"/>
      <x:c r="M205" s="33"/>
      <x:c r="N205" s="37"/>
      <x:c r="O205" s="33"/>
      <x:c r="P205" s="33"/>
      <x:c r="Q205" s="33"/>
      <x:c r="R205" s="37"/>
      <x:c r="S205" s="33"/>
      <x:c r="T205" s="33"/>
      <x:c r="U205" s="33"/>
      <x:c r="V205" s="38"/>
      <x:c r="W205" s="34"/>
      <x:c r="X205" s="34"/>
      <x:c r="Y205" s="34"/>
      <x:c r="Z205" s="34"/>
      <x:c r="AA205" s="34"/>
      <x:c r="AB205" s="34"/>
      <x:c r="AC205" s="34"/>
      <x:c r="AD205" s="34"/>
      <x:c r="AE205" s="34"/>
      <x:c r="AF205" s="34"/>
      <x:c r="AG205" s="34"/>
      <x:c r="AH205" s="35" t="str">
        <x:f>IF(COUNTA(X205:AA205)&lt;4,"",ROUND((X205*20)*45%+(((Y205-1)/4*100)*30%+((Z205-1)/4*100)*25%+(1-(AA205-1)/4)*100*25%+(1-(MAX(1,AC205:AE205)-1)/4)*100*20%)*55%,0))</x:f>
      </x:c>
      <x:c r="AI205" s="35" t="str">
        <x:f>IF(AH205="","",IF(AH205&gt;=85,"Excelente",IF(AH205&gt;=70,"Adequado",IF(AH205&gt;=50,"Atenção","Crítico"))))</x:f>
      </x:c>
    </x:row>
    <x:row r="206">
      <x:c r="A206" s="33"/>
      <x:c r="B206" s="33"/>
      <x:c r="C206" s="33"/>
      <x:c r="D206" s="33"/>
      <x:c r="E206" s="36"/>
      <x:c r="F206" s="36"/>
      <x:c r="G206" s="33"/>
      <x:c r="H206" s="33"/>
      <x:c r="I206" s="33"/>
      <x:c r="J206" s="33"/>
      <x:c r="K206" s="33"/>
      <x:c r="L206" s="33"/>
      <x:c r="M206" s="33"/>
      <x:c r="N206" s="37"/>
      <x:c r="O206" s="33"/>
      <x:c r="P206" s="33"/>
      <x:c r="Q206" s="33"/>
      <x:c r="R206" s="37"/>
      <x:c r="S206" s="33"/>
      <x:c r="T206" s="33"/>
      <x:c r="U206" s="33"/>
      <x:c r="V206" s="38"/>
      <x:c r="W206" s="34"/>
      <x:c r="X206" s="34"/>
      <x:c r="Y206" s="34"/>
      <x:c r="Z206" s="34"/>
      <x:c r="AA206" s="34"/>
      <x:c r="AB206" s="34"/>
      <x:c r="AC206" s="34"/>
      <x:c r="AD206" s="34"/>
      <x:c r="AE206" s="34"/>
      <x:c r="AF206" s="34"/>
      <x:c r="AG206" s="34"/>
      <x:c r="AH206" s="35" t="str">
        <x:f>IF(COUNTA(X206:AA206)&lt;4,"",ROUND((X206*20)*45%+(((Y206-1)/4*100)*30%+((Z206-1)/4*100)*25%+(1-(AA206-1)/4)*100*25%+(1-(MAX(1,AC206:AE206)-1)/4)*100*20%)*55%,0))</x:f>
      </x:c>
      <x:c r="AI206" s="35" t="str">
        <x:f>IF(AH206="","",IF(AH206&gt;=85,"Excelente",IF(AH206&gt;=70,"Adequado",IF(AH206&gt;=50,"Atenção","Crítico"))))</x:f>
      </x:c>
    </x:row>
    <x:row r="207">
      <x:c r="A207" s="33"/>
      <x:c r="B207" s="33"/>
      <x:c r="C207" s="33"/>
      <x:c r="D207" s="33"/>
      <x:c r="E207" s="36"/>
      <x:c r="F207" s="36"/>
      <x:c r="G207" s="33"/>
      <x:c r="H207" s="33"/>
      <x:c r="I207" s="33"/>
      <x:c r="J207" s="33"/>
      <x:c r="K207" s="33"/>
      <x:c r="L207" s="33"/>
      <x:c r="M207" s="33"/>
      <x:c r="N207" s="37"/>
      <x:c r="O207" s="33"/>
      <x:c r="P207" s="33"/>
      <x:c r="Q207" s="33"/>
      <x:c r="R207" s="37"/>
      <x:c r="S207" s="33"/>
      <x:c r="T207" s="33"/>
      <x:c r="U207" s="33"/>
      <x:c r="V207" s="38"/>
      <x:c r="W207" s="34"/>
      <x:c r="X207" s="34"/>
      <x:c r="Y207" s="34"/>
      <x:c r="Z207" s="34"/>
      <x:c r="AA207" s="34"/>
      <x:c r="AB207" s="34"/>
      <x:c r="AC207" s="34"/>
      <x:c r="AD207" s="34"/>
      <x:c r="AE207" s="34"/>
      <x:c r="AF207" s="34"/>
      <x:c r="AG207" s="34"/>
      <x:c r="AH207" s="35" t="str">
        <x:f>IF(COUNTA(X207:AA207)&lt;4,"",ROUND((X207*20)*45%+(((Y207-1)/4*100)*30%+((Z207-1)/4*100)*25%+(1-(AA207-1)/4)*100*25%+(1-(MAX(1,AC207:AE207)-1)/4)*100*20%)*55%,0))</x:f>
      </x:c>
      <x:c r="AI207" s="35" t="str">
        <x:f>IF(AH207="","",IF(AH207&gt;=85,"Excelente",IF(AH207&gt;=70,"Adequado",IF(AH207&gt;=50,"Atenção","Crítico"))))</x:f>
      </x:c>
    </x:row>
    <x:row r="208">
      <x:c r="A208" s="33"/>
      <x:c r="B208" s="33"/>
      <x:c r="C208" s="33"/>
      <x:c r="D208" s="33"/>
      <x:c r="E208" s="36"/>
      <x:c r="F208" s="36"/>
      <x:c r="G208" s="33"/>
      <x:c r="H208" s="33"/>
      <x:c r="I208" s="33"/>
      <x:c r="J208" s="33"/>
      <x:c r="K208" s="33"/>
      <x:c r="L208" s="33"/>
      <x:c r="M208" s="33"/>
      <x:c r="N208" s="37"/>
      <x:c r="O208" s="33"/>
      <x:c r="P208" s="33"/>
      <x:c r="Q208" s="33"/>
      <x:c r="R208" s="37"/>
      <x:c r="S208" s="33"/>
      <x:c r="T208" s="33"/>
      <x:c r="U208" s="33"/>
      <x:c r="V208" s="38"/>
      <x:c r="W208" s="34"/>
      <x:c r="X208" s="34"/>
      <x:c r="Y208" s="34"/>
      <x:c r="Z208" s="34"/>
      <x:c r="AA208" s="34"/>
      <x:c r="AB208" s="34"/>
      <x:c r="AC208" s="34"/>
      <x:c r="AD208" s="34"/>
      <x:c r="AE208" s="34"/>
      <x:c r="AF208" s="34"/>
      <x:c r="AG208" s="34"/>
      <x:c r="AH208" s="35" t="str">
        <x:f>IF(COUNTA(X208:AA208)&lt;4,"",ROUND((X208*20)*45%+(((Y208-1)/4*100)*30%+((Z208-1)/4*100)*25%+(1-(AA208-1)/4)*100*25%+(1-(MAX(1,AC208:AE208)-1)/4)*100*20%)*55%,0))</x:f>
      </x:c>
      <x:c r="AI208" s="35" t="str">
        <x:f>IF(AH208="","",IF(AH208&gt;=85,"Excelente",IF(AH208&gt;=70,"Adequado",IF(AH208&gt;=50,"Atenção","Crítico"))))</x:f>
      </x:c>
    </x:row>
    <x:row r="209">
      <x:c r="A209" s="33"/>
      <x:c r="B209" s="33"/>
      <x:c r="C209" s="33"/>
      <x:c r="D209" s="33"/>
      <x:c r="E209" s="36"/>
      <x:c r="F209" s="36"/>
      <x:c r="G209" s="33"/>
      <x:c r="H209" s="33"/>
      <x:c r="I209" s="33"/>
      <x:c r="J209" s="33"/>
      <x:c r="K209" s="33"/>
      <x:c r="L209" s="33"/>
      <x:c r="M209" s="33"/>
      <x:c r="N209" s="37"/>
      <x:c r="O209" s="33"/>
      <x:c r="P209" s="33"/>
      <x:c r="Q209" s="33"/>
      <x:c r="R209" s="37"/>
      <x:c r="S209" s="33"/>
      <x:c r="T209" s="33"/>
      <x:c r="U209" s="33"/>
      <x:c r="V209" s="38"/>
      <x:c r="W209" s="34"/>
      <x:c r="X209" s="34"/>
      <x:c r="Y209" s="34"/>
      <x:c r="Z209" s="34"/>
      <x:c r="AA209" s="34"/>
      <x:c r="AB209" s="34"/>
      <x:c r="AC209" s="34"/>
      <x:c r="AD209" s="34"/>
      <x:c r="AE209" s="34"/>
      <x:c r="AF209" s="34"/>
      <x:c r="AG209" s="34"/>
      <x:c r="AH209" s="35" t="str">
        <x:f>IF(COUNTA(X209:AA209)&lt;4,"",ROUND((X209*20)*45%+(((Y209-1)/4*100)*30%+((Z209-1)/4*100)*25%+(1-(AA209-1)/4)*100*25%+(1-(MAX(1,AC209:AE209)-1)/4)*100*20%)*55%,0))</x:f>
      </x:c>
      <x:c r="AI209" s="35" t="str">
        <x:f>IF(AH209="","",IF(AH209&gt;=85,"Excelente",IF(AH209&gt;=70,"Adequado",IF(AH209&gt;=50,"Atenção","Crítico"))))</x:f>
      </x:c>
    </x:row>
    <x:row r="210">
      <x:c r="A210" s="33"/>
      <x:c r="B210" s="33"/>
      <x:c r="C210" s="33"/>
      <x:c r="D210" s="33"/>
      <x:c r="E210" s="36"/>
      <x:c r="F210" s="36"/>
      <x:c r="G210" s="33"/>
      <x:c r="H210" s="33"/>
      <x:c r="I210" s="33"/>
      <x:c r="J210" s="33"/>
      <x:c r="K210" s="33"/>
      <x:c r="L210" s="33"/>
      <x:c r="M210" s="33"/>
      <x:c r="N210" s="37"/>
      <x:c r="O210" s="33"/>
      <x:c r="P210" s="33"/>
      <x:c r="Q210" s="33"/>
      <x:c r="R210" s="37"/>
      <x:c r="S210" s="33"/>
      <x:c r="T210" s="33"/>
      <x:c r="U210" s="33"/>
      <x:c r="V210" s="38"/>
      <x:c r="W210" s="34"/>
      <x:c r="X210" s="34"/>
      <x:c r="Y210" s="34"/>
      <x:c r="Z210" s="34"/>
      <x:c r="AA210" s="34"/>
      <x:c r="AB210" s="34"/>
      <x:c r="AC210" s="34"/>
      <x:c r="AD210" s="34"/>
      <x:c r="AE210" s="34"/>
      <x:c r="AF210" s="34"/>
      <x:c r="AG210" s="34"/>
      <x:c r="AH210" s="35" t="str">
        <x:f>IF(COUNTA(X210:AA210)&lt;4,"",ROUND((X210*20)*45%+(((Y210-1)/4*100)*30%+((Z210-1)/4*100)*25%+(1-(AA210-1)/4)*100*25%+(1-(MAX(1,AC210:AE210)-1)/4)*100*20%)*55%,0))</x:f>
      </x:c>
      <x:c r="AI210" s="35" t="str">
        <x:f>IF(AH210="","",IF(AH210&gt;=85,"Excelente",IF(AH210&gt;=70,"Adequado",IF(AH210&gt;=50,"Atenção","Crítico"))))</x:f>
      </x:c>
    </x:row>
    <x:row r="211">
      <x:c r="A211" s="33"/>
      <x:c r="B211" s="33"/>
      <x:c r="C211" s="33"/>
      <x:c r="D211" s="33"/>
      <x:c r="E211" s="36"/>
      <x:c r="F211" s="36"/>
      <x:c r="G211" s="33"/>
      <x:c r="H211" s="33"/>
      <x:c r="I211" s="33"/>
      <x:c r="J211" s="33"/>
      <x:c r="K211" s="33"/>
      <x:c r="L211" s="33"/>
      <x:c r="M211" s="33"/>
      <x:c r="N211" s="37"/>
      <x:c r="O211" s="33"/>
      <x:c r="P211" s="33"/>
      <x:c r="Q211" s="33"/>
      <x:c r="R211" s="37"/>
      <x:c r="S211" s="33"/>
      <x:c r="T211" s="33"/>
      <x:c r="U211" s="33"/>
      <x:c r="V211" s="38"/>
      <x:c r="W211" s="34"/>
      <x:c r="X211" s="34"/>
      <x:c r="Y211" s="34"/>
      <x:c r="Z211" s="34"/>
      <x:c r="AA211" s="34"/>
      <x:c r="AB211" s="34"/>
      <x:c r="AC211" s="34"/>
      <x:c r="AD211" s="34"/>
      <x:c r="AE211" s="34"/>
      <x:c r="AF211" s="34"/>
      <x:c r="AG211" s="34"/>
      <x:c r="AH211" s="35" t="str">
        <x:f>IF(COUNTA(X211:AA211)&lt;4,"",ROUND((X211*20)*45%+(((Y211-1)/4*100)*30%+((Z211-1)/4*100)*25%+(1-(AA211-1)/4)*100*25%+(1-(MAX(1,AC211:AE211)-1)/4)*100*20%)*55%,0))</x:f>
      </x:c>
      <x:c r="AI211" s="35" t="str">
        <x:f>IF(AH211="","",IF(AH211&gt;=85,"Excelente",IF(AH211&gt;=70,"Adequado",IF(AH211&gt;=50,"Atenção","Crítico"))))</x:f>
      </x:c>
    </x:row>
    <x:row r="212">
      <x:c r="A212" s="33"/>
      <x:c r="B212" s="33"/>
      <x:c r="C212" s="33"/>
      <x:c r="D212" s="33"/>
      <x:c r="E212" s="36"/>
      <x:c r="F212" s="36"/>
      <x:c r="G212" s="33"/>
      <x:c r="H212" s="33"/>
      <x:c r="I212" s="33"/>
      <x:c r="J212" s="33"/>
      <x:c r="K212" s="33"/>
      <x:c r="L212" s="33"/>
      <x:c r="M212" s="33"/>
      <x:c r="N212" s="37"/>
      <x:c r="O212" s="33"/>
      <x:c r="P212" s="33"/>
      <x:c r="Q212" s="33"/>
      <x:c r="R212" s="37"/>
      <x:c r="S212" s="33"/>
      <x:c r="T212" s="33"/>
      <x:c r="U212" s="33"/>
      <x:c r="V212" s="38"/>
      <x:c r="W212" s="34"/>
      <x:c r="X212" s="34"/>
      <x:c r="Y212" s="34"/>
      <x:c r="Z212" s="34"/>
      <x:c r="AA212" s="34"/>
      <x:c r="AB212" s="34"/>
      <x:c r="AC212" s="34"/>
      <x:c r="AD212" s="34"/>
      <x:c r="AE212" s="34"/>
      <x:c r="AF212" s="34"/>
      <x:c r="AG212" s="34"/>
      <x:c r="AH212" s="35" t="str">
        <x:f>IF(COUNTA(X212:AA212)&lt;4,"",ROUND((X212*20)*45%+(((Y212-1)/4*100)*30%+((Z212-1)/4*100)*25%+(1-(AA212-1)/4)*100*25%+(1-(MAX(1,AC212:AE212)-1)/4)*100*20%)*55%,0))</x:f>
      </x:c>
      <x:c r="AI212" s="35" t="str">
        <x:f>IF(AH212="","",IF(AH212&gt;=85,"Excelente",IF(AH212&gt;=70,"Adequado",IF(AH212&gt;=50,"Atenção","Crítico"))))</x:f>
      </x:c>
    </x:row>
    <x:row r="213">
      <x:c r="A213" s="33"/>
      <x:c r="B213" s="33"/>
      <x:c r="C213" s="33"/>
      <x:c r="D213" s="33"/>
      <x:c r="E213" s="36"/>
      <x:c r="F213" s="36"/>
      <x:c r="G213" s="33"/>
      <x:c r="H213" s="33"/>
      <x:c r="I213" s="33"/>
      <x:c r="J213" s="33"/>
      <x:c r="K213" s="33"/>
      <x:c r="L213" s="33"/>
      <x:c r="M213" s="33"/>
      <x:c r="N213" s="37"/>
      <x:c r="O213" s="33"/>
      <x:c r="P213" s="33"/>
      <x:c r="Q213" s="33"/>
      <x:c r="R213" s="37"/>
      <x:c r="S213" s="33"/>
      <x:c r="T213" s="33"/>
      <x:c r="U213" s="33"/>
      <x:c r="V213" s="38"/>
      <x:c r="W213" s="34"/>
      <x:c r="X213" s="34"/>
      <x:c r="Y213" s="34"/>
      <x:c r="Z213" s="34"/>
      <x:c r="AA213" s="34"/>
      <x:c r="AB213" s="34"/>
      <x:c r="AC213" s="34"/>
      <x:c r="AD213" s="34"/>
      <x:c r="AE213" s="34"/>
      <x:c r="AF213" s="34"/>
      <x:c r="AG213" s="34"/>
      <x:c r="AH213" s="35" t="str">
        <x:f>IF(COUNTA(X213:AA213)&lt;4,"",ROUND((X213*20)*45%+(((Y213-1)/4*100)*30%+((Z213-1)/4*100)*25%+(1-(AA213-1)/4)*100*25%+(1-(MAX(1,AC213:AE213)-1)/4)*100*20%)*55%,0))</x:f>
      </x:c>
      <x:c r="AI213" s="35" t="str">
        <x:f>IF(AH213="","",IF(AH213&gt;=85,"Excelente",IF(AH213&gt;=70,"Adequado",IF(AH213&gt;=50,"Atenção","Crítico"))))</x:f>
      </x:c>
    </x:row>
    <x:row r="214">
      <x:c r="A214" s="33"/>
      <x:c r="B214" s="33"/>
      <x:c r="C214" s="33"/>
      <x:c r="D214" s="33"/>
      <x:c r="E214" s="36"/>
      <x:c r="F214" s="36"/>
      <x:c r="G214" s="33"/>
      <x:c r="H214" s="33"/>
      <x:c r="I214" s="33"/>
      <x:c r="J214" s="33"/>
      <x:c r="K214" s="33"/>
      <x:c r="L214" s="33"/>
      <x:c r="M214" s="33"/>
      <x:c r="N214" s="37"/>
      <x:c r="O214" s="33"/>
      <x:c r="P214" s="33"/>
      <x:c r="Q214" s="33"/>
      <x:c r="R214" s="37"/>
      <x:c r="S214" s="33"/>
      <x:c r="T214" s="33"/>
      <x:c r="U214" s="33"/>
      <x:c r="V214" s="38"/>
      <x:c r="W214" s="34"/>
      <x:c r="X214" s="34"/>
      <x:c r="Y214" s="34"/>
      <x:c r="Z214" s="34"/>
      <x:c r="AA214" s="34"/>
      <x:c r="AB214" s="34"/>
      <x:c r="AC214" s="34"/>
      <x:c r="AD214" s="34"/>
      <x:c r="AE214" s="34"/>
      <x:c r="AF214" s="34"/>
      <x:c r="AG214" s="34"/>
      <x:c r="AH214" s="35" t="str">
        <x:f>IF(COUNTA(X214:AA214)&lt;4,"",ROUND((X214*20)*45%+(((Y214-1)/4*100)*30%+((Z214-1)/4*100)*25%+(1-(AA214-1)/4)*100*25%+(1-(MAX(1,AC214:AE214)-1)/4)*100*20%)*55%,0))</x:f>
      </x:c>
      <x:c r="AI214" s="35" t="str">
        <x:f>IF(AH214="","",IF(AH214&gt;=85,"Excelente",IF(AH214&gt;=70,"Adequado",IF(AH214&gt;=50,"Atenção","Crítico"))))</x:f>
      </x:c>
    </x:row>
    <x:row r="215">
      <x:c r="A215" s="33"/>
      <x:c r="B215" s="33"/>
      <x:c r="C215" s="33"/>
      <x:c r="D215" s="33"/>
      <x:c r="E215" s="36"/>
      <x:c r="F215" s="36"/>
      <x:c r="G215" s="33"/>
      <x:c r="H215" s="33"/>
      <x:c r="I215" s="33"/>
      <x:c r="J215" s="33"/>
      <x:c r="K215" s="33"/>
      <x:c r="L215" s="33"/>
      <x:c r="M215" s="33"/>
      <x:c r="N215" s="37"/>
      <x:c r="O215" s="33"/>
      <x:c r="P215" s="33"/>
      <x:c r="Q215" s="33"/>
      <x:c r="R215" s="37"/>
      <x:c r="S215" s="33"/>
      <x:c r="T215" s="33"/>
      <x:c r="U215" s="33"/>
      <x:c r="V215" s="38"/>
      <x:c r="W215" s="34"/>
      <x:c r="X215" s="34"/>
      <x:c r="Y215" s="34"/>
      <x:c r="Z215" s="34"/>
      <x:c r="AA215" s="34"/>
      <x:c r="AB215" s="34"/>
      <x:c r="AC215" s="34"/>
      <x:c r="AD215" s="34"/>
      <x:c r="AE215" s="34"/>
      <x:c r="AF215" s="34"/>
      <x:c r="AG215" s="34"/>
      <x:c r="AH215" s="35" t="str">
        <x:f>IF(COUNTA(X215:AA215)&lt;4,"",ROUND((X215*20)*45%+(((Y215-1)/4*100)*30%+((Z215-1)/4*100)*25%+(1-(AA215-1)/4)*100*25%+(1-(MAX(1,AC215:AE215)-1)/4)*100*20%)*55%,0))</x:f>
      </x:c>
      <x:c r="AI215" s="35" t="str">
        <x:f>IF(AH215="","",IF(AH215&gt;=85,"Excelente",IF(AH215&gt;=70,"Adequado",IF(AH215&gt;=50,"Atenção","Crítico"))))</x:f>
      </x:c>
    </x:row>
    <x:row r="216">
      <x:c r="A216" s="33"/>
      <x:c r="B216" s="33"/>
      <x:c r="C216" s="33"/>
      <x:c r="D216" s="33"/>
      <x:c r="E216" s="36"/>
      <x:c r="F216" s="36"/>
      <x:c r="G216" s="33"/>
      <x:c r="H216" s="33"/>
      <x:c r="I216" s="33"/>
      <x:c r="J216" s="33"/>
      <x:c r="K216" s="33"/>
      <x:c r="L216" s="33"/>
      <x:c r="M216" s="33"/>
      <x:c r="N216" s="37"/>
      <x:c r="O216" s="33"/>
      <x:c r="P216" s="33"/>
      <x:c r="Q216" s="33"/>
      <x:c r="R216" s="37"/>
      <x:c r="S216" s="33"/>
      <x:c r="T216" s="33"/>
      <x:c r="U216" s="33"/>
      <x:c r="V216" s="38"/>
      <x:c r="W216" s="34"/>
      <x:c r="X216" s="34"/>
      <x:c r="Y216" s="34"/>
      <x:c r="Z216" s="34"/>
      <x:c r="AA216" s="34"/>
      <x:c r="AB216" s="34"/>
      <x:c r="AC216" s="34"/>
      <x:c r="AD216" s="34"/>
      <x:c r="AE216" s="34"/>
      <x:c r="AF216" s="34"/>
      <x:c r="AG216" s="34"/>
      <x:c r="AH216" s="35" t="str">
        <x:f>IF(COUNTA(X216:AA216)&lt;4,"",ROUND((X216*20)*45%+(((Y216-1)/4*100)*30%+((Z216-1)/4*100)*25%+(1-(AA216-1)/4)*100*25%+(1-(MAX(1,AC216:AE216)-1)/4)*100*20%)*55%,0))</x:f>
      </x:c>
      <x:c r="AI216" s="35" t="str">
        <x:f>IF(AH216="","",IF(AH216&gt;=85,"Excelente",IF(AH216&gt;=70,"Adequado",IF(AH216&gt;=50,"Atenção","Crítico"))))</x:f>
      </x:c>
    </x:row>
    <x:row r="217">
      <x:c r="A217" s="33"/>
      <x:c r="B217" s="33"/>
      <x:c r="C217" s="33"/>
      <x:c r="D217" s="33"/>
      <x:c r="E217" s="36"/>
      <x:c r="F217" s="36"/>
      <x:c r="G217" s="33"/>
      <x:c r="H217" s="33"/>
      <x:c r="I217" s="33"/>
      <x:c r="J217" s="33"/>
      <x:c r="K217" s="33"/>
      <x:c r="L217" s="33"/>
      <x:c r="M217" s="33"/>
      <x:c r="N217" s="37"/>
      <x:c r="O217" s="33"/>
      <x:c r="P217" s="33"/>
      <x:c r="Q217" s="33"/>
      <x:c r="R217" s="37"/>
      <x:c r="S217" s="33"/>
      <x:c r="T217" s="33"/>
      <x:c r="U217" s="33"/>
      <x:c r="V217" s="38"/>
      <x:c r="W217" s="34"/>
      <x:c r="X217" s="34"/>
      <x:c r="Y217" s="34"/>
      <x:c r="Z217" s="34"/>
      <x:c r="AA217" s="34"/>
      <x:c r="AB217" s="34"/>
      <x:c r="AC217" s="34"/>
      <x:c r="AD217" s="34"/>
      <x:c r="AE217" s="34"/>
      <x:c r="AF217" s="34"/>
      <x:c r="AG217" s="34"/>
      <x:c r="AH217" s="35" t="str">
        <x:f>IF(COUNTA(X217:AA217)&lt;4,"",ROUND((X217*20)*45%+(((Y217-1)/4*100)*30%+((Z217-1)/4*100)*25%+(1-(AA217-1)/4)*100*25%+(1-(MAX(1,AC217:AE217)-1)/4)*100*20%)*55%,0))</x:f>
      </x:c>
      <x:c r="AI217" s="35" t="str">
        <x:f>IF(AH217="","",IF(AH217&gt;=85,"Excelente",IF(AH217&gt;=70,"Adequado",IF(AH217&gt;=50,"Atenção","Crítico"))))</x:f>
      </x:c>
    </x:row>
    <x:row r="218">
      <x:c r="A218" s="33"/>
      <x:c r="B218" s="33"/>
      <x:c r="C218" s="33"/>
      <x:c r="D218" s="33"/>
      <x:c r="E218" s="36"/>
      <x:c r="F218" s="36"/>
      <x:c r="G218" s="33"/>
      <x:c r="H218" s="33"/>
      <x:c r="I218" s="33"/>
      <x:c r="J218" s="33"/>
      <x:c r="K218" s="33"/>
      <x:c r="L218" s="33"/>
      <x:c r="M218" s="33"/>
      <x:c r="N218" s="37"/>
      <x:c r="O218" s="33"/>
      <x:c r="P218" s="33"/>
      <x:c r="Q218" s="33"/>
      <x:c r="R218" s="37"/>
      <x:c r="S218" s="33"/>
      <x:c r="T218" s="33"/>
      <x:c r="U218" s="33"/>
      <x:c r="V218" s="38"/>
      <x:c r="W218" s="34"/>
      <x:c r="X218" s="34"/>
      <x:c r="Y218" s="34"/>
      <x:c r="Z218" s="34"/>
      <x:c r="AA218" s="34"/>
      <x:c r="AB218" s="34"/>
      <x:c r="AC218" s="34"/>
      <x:c r="AD218" s="34"/>
      <x:c r="AE218" s="34"/>
      <x:c r="AF218" s="34"/>
      <x:c r="AG218" s="34"/>
      <x:c r="AH218" s="35" t="str">
        <x:f>IF(COUNTA(X218:AA218)&lt;4,"",ROUND((X218*20)*45%+(((Y218-1)/4*100)*30%+((Z218-1)/4*100)*25%+(1-(AA218-1)/4)*100*25%+(1-(MAX(1,AC218:AE218)-1)/4)*100*20%)*55%,0))</x:f>
      </x:c>
      <x:c r="AI218" s="35" t="str">
        <x:f>IF(AH218="","",IF(AH218&gt;=85,"Excelente",IF(AH218&gt;=70,"Adequado",IF(AH218&gt;=50,"Atenção","Crítico"))))</x:f>
      </x:c>
    </x:row>
    <x:row r="219">
      <x:c r="A219" s="33"/>
      <x:c r="B219" s="33"/>
      <x:c r="C219" s="33"/>
      <x:c r="D219" s="33"/>
      <x:c r="E219" s="36"/>
      <x:c r="F219" s="36"/>
      <x:c r="G219" s="33"/>
      <x:c r="H219" s="33"/>
      <x:c r="I219" s="33"/>
      <x:c r="J219" s="33"/>
      <x:c r="K219" s="33"/>
      <x:c r="L219" s="33"/>
      <x:c r="M219" s="33"/>
      <x:c r="N219" s="37"/>
      <x:c r="O219" s="33"/>
      <x:c r="P219" s="33"/>
      <x:c r="Q219" s="33"/>
      <x:c r="R219" s="37"/>
      <x:c r="S219" s="33"/>
      <x:c r="T219" s="33"/>
      <x:c r="U219" s="33"/>
      <x:c r="V219" s="38"/>
      <x:c r="W219" s="34"/>
      <x:c r="X219" s="34"/>
      <x:c r="Y219" s="34"/>
      <x:c r="Z219" s="34"/>
      <x:c r="AA219" s="34"/>
      <x:c r="AB219" s="34"/>
      <x:c r="AC219" s="34"/>
      <x:c r="AD219" s="34"/>
      <x:c r="AE219" s="34"/>
      <x:c r="AF219" s="34"/>
      <x:c r="AG219" s="34"/>
      <x:c r="AH219" s="35" t="str">
        <x:f>IF(COUNTA(X219:AA219)&lt;4,"",ROUND((X219*20)*45%+(((Y219-1)/4*100)*30%+((Z219-1)/4*100)*25%+(1-(AA219-1)/4)*100*25%+(1-(MAX(1,AC219:AE219)-1)/4)*100*20%)*55%,0))</x:f>
      </x:c>
      <x:c r="AI219" s="35" t="str">
        <x:f>IF(AH219="","",IF(AH219&gt;=85,"Excelente",IF(AH219&gt;=70,"Adequado",IF(AH219&gt;=50,"Atenção","Crítico"))))</x:f>
      </x:c>
    </x:row>
    <x:row r="220">
      <x:c r="A220" s="33"/>
      <x:c r="B220" s="33"/>
      <x:c r="C220" s="33"/>
      <x:c r="D220" s="33"/>
      <x:c r="E220" s="36"/>
      <x:c r="F220" s="36"/>
      <x:c r="G220" s="33"/>
      <x:c r="H220" s="33"/>
      <x:c r="I220" s="33"/>
      <x:c r="J220" s="33"/>
      <x:c r="K220" s="33"/>
      <x:c r="L220" s="33"/>
      <x:c r="M220" s="33"/>
      <x:c r="N220" s="37"/>
      <x:c r="O220" s="33"/>
      <x:c r="P220" s="33"/>
      <x:c r="Q220" s="33"/>
      <x:c r="R220" s="37"/>
      <x:c r="S220" s="33"/>
      <x:c r="T220" s="33"/>
      <x:c r="U220" s="33"/>
      <x:c r="V220" s="38"/>
      <x:c r="W220" s="34"/>
      <x:c r="X220" s="34"/>
      <x:c r="Y220" s="34"/>
      <x:c r="Z220" s="34"/>
      <x:c r="AA220" s="34"/>
      <x:c r="AB220" s="34"/>
      <x:c r="AC220" s="34"/>
      <x:c r="AD220" s="34"/>
      <x:c r="AE220" s="34"/>
      <x:c r="AF220" s="34"/>
      <x:c r="AG220" s="34"/>
      <x:c r="AH220" s="35" t="str">
        <x:f>IF(COUNTA(X220:AA220)&lt;4,"",ROUND((X220*20)*45%+(((Y220-1)/4*100)*30%+((Z220-1)/4*100)*25%+(1-(AA220-1)/4)*100*25%+(1-(MAX(1,AC220:AE220)-1)/4)*100*20%)*55%,0))</x:f>
      </x:c>
      <x:c r="AI220" s="35" t="str">
        <x:f>IF(AH220="","",IF(AH220&gt;=85,"Excelente",IF(AH220&gt;=70,"Adequado",IF(AH220&gt;=50,"Atenção","Crítico"))))</x:f>
      </x:c>
    </x:row>
    <x:row r="221">
      <x:c r="A221" s="33"/>
      <x:c r="B221" s="33"/>
      <x:c r="C221" s="33"/>
      <x:c r="D221" s="33"/>
      <x:c r="E221" s="36"/>
      <x:c r="F221" s="36"/>
      <x:c r="G221" s="33"/>
      <x:c r="H221" s="33"/>
      <x:c r="I221" s="33"/>
      <x:c r="J221" s="33"/>
      <x:c r="K221" s="33"/>
      <x:c r="L221" s="33"/>
      <x:c r="M221" s="33"/>
      <x:c r="N221" s="37"/>
      <x:c r="O221" s="33"/>
      <x:c r="P221" s="33"/>
      <x:c r="Q221" s="33"/>
      <x:c r="R221" s="37"/>
      <x:c r="S221" s="33"/>
      <x:c r="T221" s="33"/>
      <x:c r="U221" s="33"/>
      <x:c r="V221" s="38"/>
      <x:c r="W221" s="34"/>
      <x:c r="X221" s="34"/>
      <x:c r="Y221" s="34"/>
      <x:c r="Z221" s="34"/>
      <x:c r="AA221" s="34"/>
      <x:c r="AB221" s="34"/>
      <x:c r="AC221" s="34"/>
      <x:c r="AD221" s="34"/>
      <x:c r="AE221" s="34"/>
      <x:c r="AF221" s="34"/>
      <x:c r="AG221" s="34"/>
      <x:c r="AH221" s="35" t="str">
        <x:f>IF(COUNTA(X221:AA221)&lt;4,"",ROUND((X221*20)*45%+(((Y221-1)/4*100)*30%+((Z221-1)/4*100)*25%+(1-(AA221-1)/4)*100*25%+(1-(MAX(1,AC221:AE221)-1)/4)*100*20%)*55%,0))</x:f>
      </x:c>
      <x:c r="AI221" s="35" t="str">
        <x:f>IF(AH221="","",IF(AH221&gt;=85,"Excelente",IF(AH221&gt;=70,"Adequado",IF(AH221&gt;=50,"Atenção","Crítico"))))</x:f>
      </x:c>
    </x:row>
    <x:row r="222">
      <x:c r="A222" s="33"/>
      <x:c r="B222" s="33"/>
      <x:c r="C222" s="33"/>
      <x:c r="D222" s="33"/>
      <x:c r="E222" s="36"/>
      <x:c r="F222" s="36"/>
      <x:c r="G222" s="33"/>
      <x:c r="H222" s="33"/>
      <x:c r="I222" s="33"/>
      <x:c r="J222" s="33"/>
      <x:c r="K222" s="33"/>
      <x:c r="L222" s="33"/>
      <x:c r="M222" s="33"/>
      <x:c r="N222" s="37"/>
      <x:c r="O222" s="33"/>
      <x:c r="P222" s="33"/>
      <x:c r="Q222" s="33"/>
      <x:c r="R222" s="37"/>
      <x:c r="S222" s="33"/>
      <x:c r="T222" s="33"/>
      <x:c r="U222" s="33"/>
      <x:c r="V222" s="38"/>
      <x:c r="W222" s="34"/>
      <x:c r="X222" s="34"/>
      <x:c r="Y222" s="34"/>
      <x:c r="Z222" s="34"/>
      <x:c r="AA222" s="34"/>
      <x:c r="AB222" s="34"/>
      <x:c r="AC222" s="34"/>
      <x:c r="AD222" s="34"/>
      <x:c r="AE222" s="34"/>
      <x:c r="AF222" s="34"/>
      <x:c r="AG222" s="34"/>
      <x:c r="AH222" s="35" t="str">
        <x:f>IF(COUNTA(X222:AA222)&lt;4,"",ROUND((X222*20)*45%+(((Y222-1)/4*100)*30%+((Z222-1)/4*100)*25%+(1-(AA222-1)/4)*100*25%+(1-(MAX(1,AC222:AE222)-1)/4)*100*20%)*55%,0))</x:f>
      </x:c>
      <x:c r="AI222" s="35" t="str">
        <x:f>IF(AH222="","",IF(AH222&gt;=85,"Excelente",IF(AH222&gt;=70,"Adequado",IF(AH222&gt;=50,"Atenção","Crítico"))))</x:f>
      </x:c>
    </x:row>
    <x:row r="223">
      <x:c r="A223" s="33"/>
      <x:c r="B223" s="33"/>
      <x:c r="C223" s="33"/>
      <x:c r="D223" s="33"/>
      <x:c r="E223" s="36"/>
      <x:c r="F223" s="36"/>
      <x:c r="G223" s="33"/>
      <x:c r="H223" s="33"/>
      <x:c r="I223" s="33"/>
      <x:c r="J223" s="33"/>
      <x:c r="K223" s="33"/>
      <x:c r="L223" s="33"/>
      <x:c r="M223" s="33"/>
      <x:c r="N223" s="37"/>
      <x:c r="O223" s="33"/>
      <x:c r="P223" s="33"/>
      <x:c r="Q223" s="33"/>
      <x:c r="R223" s="37"/>
      <x:c r="S223" s="33"/>
      <x:c r="T223" s="33"/>
      <x:c r="U223" s="33"/>
      <x:c r="V223" s="38"/>
      <x:c r="W223" s="34"/>
      <x:c r="X223" s="34"/>
      <x:c r="Y223" s="34"/>
      <x:c r="Z223" s="34"/>
      <x:c r="AA223" s="34"/>
      <x:c r="AB223" s="34"/>
      <x:c r="AC223" s="34"/>
      <x:c r="AD223" s="34"/>
      <x:c r="AE223" s="34"/>
      <x:c r="AF223" s="34"/>
      <x:c r="AG223" s="34"/>
      <x:c r="AH223" s="35" t="str">
        <x:f>IF(COUNTA(X223:AA223)&lt;4,"",ROUND((X223*20)*45%+(((Y223-1)/4*100)*30%+((Z223-1)/4*100)*25%+(1-(AA223-1)/4)*100*25%+(1-(MAX(1,AC223:AE223)-1)/4)*100*20%)*55%,0))</x:f>
      </x:c>
      <x:c r="AI223" s="35" t="str">
        <x:f>IF(AH223="","",IF(AH223&gt;=85,"Excelente",IF(AH223&gt;=70,"Adequado",IF(AH223&gt;=50,"Atenção","Crítico"))))</x:f>
      </x:c>
    </x:row>
    <x:row r="224">
      <x:c r="A224" s="33"/>
      <x:c r="B224" s="33"/>
      <x:c r="C224" s="33"/>
      <x:c r="D224" s="33"/>
      <x:c r="E224" s="36"/>
      <x:c r="F224" s="36"/>
      <x:c r="G224" s="33"/>
      <x:c r="H224" s="33"/>
      <x:c r="I224" s="33"/>
      <x:c r="J224" s="33"/>
      <x:c r="K224" s="33"/>
      <x:c r="L224" s="33"/>
      <x:c r="M224" s="33"/>
      <x:c r="N224" s="37"/>
      <x:c r="O224" s="33"/>
      <x:c r="P224" s="33"/>
      <x:c r="Q224" s="33"/>
      <x:c r="R224" s="37"/>
      <x:c r="S224" s="33"/>
      <x:c r="T224" s="33"/>
      <x:c r="U224" s="33"/>
      <x:c r="V224" s="38"/>
      <x:c r="W224" s="34"/>
      <x:c r="X224" s="34"/>
      <x:c r="Y224" s="34"/>
      <x:c r="Z224" s="34"/>
      <x:c r="AA224" s="34"/>
      <x:c r="AB224" s="34"/>
      <x:c r="AC224" s="34"/>
      <x:c r="AD224" s="34"/>
      <x:c r="AE224" s="34"/>
      <x:c r="AF224" s="34"/>
      <x:c r="AG224" s="34"/>
      <x:c r="AH224" s="35" t="str">
        <x:f>IF(COUNTA(X224:AA224)&lt;4,"",ROUND((X224*20)*45%+(((Y224-1)/4*100)*30%+((Z224-1)/4*100)*25%+(1-(AA224-1)/4)*100*25%+(1-(MAX(1,AC224:AE224)-1)/4)*100*20%)*55%,0))</x:f>
      </x:c>
      <x:c r="AI224" s="35" t="str">
        <x:f>IF(AH224="","",IF(AH224&gt;=85,"Excelente",IF(AH224&gt;=70,"Adequado",IF(AH224&gt;=50,"Atenção","Crítico"))))</x:f>
      </x:c>
    </x:row>
    <x:row r="225">
      <x:c r="A225" s="33"/>
      <x:c r="B225" s="33"/>
      <x:c r="C225" s="33"/>
      <x:c r="D225" s="33"/>
      <x:c r="E225" s="36"/>
      <x:c r="F225" s="36"/>
      <x:c r="G225" s="33"/>
      <x:c r="H225" s="33"/>
      <x:c r="I225" s="33"/>
      <x:c r="J225" s="33"/>
      <x:c r="K225" s="33"/>
      <x:c r="L225" s="33"/>
      <x:c r="M225" s="33"/>
      <x:c r="N225" s="37"/>
      <x:c r="O225" s="33"/>
      <x:c r="P225" s="33"/>
      <x:c r="Q225" s="33"/>
      <x:c r="R225" s="37"/>
      <x:c r="S225" s="33"/>
      <x:c r="T225" s="33"/>
      <x:c r="U225" s="33"/>
      <x:c r="V225" s="38"/>
      <x:c r="W225" s="34"/>
      <x:c r="X225" s="34"/>
      <x:c r="Y225" s="34"/>
      <x:c r="Z225" s="34"/>
      <x:c r="AA225" s="34"/>
      <x:c r="AB225" s="34"/>
      <x:c r="AC225" s="34"/>
      <x:c r="AD225" s="34"/>
      <x:c r="AE225" s="34"/>
      <x:c r="AF225" s="34"/>
      <x:c r="AG225" s="34"/>
      <x:c r="AH225" s="35" t="str">
        <x:f>IF(COUNTA(X225:AA225)&lt;4,"",ROUND((X225*20)*45%+(((Y225-1)/4*100)*30%+((Z225-1)/4*100)*25%+(1-(AA225-1)/4)*100*25%+(1-(MAX(1,AC225:AE225)-1)/4)*100*20%)*55%,0))</x:f>
      </x:c>
      <x:c r="AI225" s="35" t="str">
        <x:f>IF(AH225="","",IF(AH225&gt;=85,"Excelente",IF(AH225&gt;=70,"Adequado",IF(AH225&gt;=50,"Atenção","Crítico"))))</x:f>
      </x:c>
    </x:row>
    <x:row r="226">
      <x:c r="A226" s="33"/>
      <x:c r="B226" s="33"/>
      <x:c r="C226" s="33"/>
      <x:c r="D226" s="33"/>
      <x:c r="E226" s="36"/>
      <x:c r="F226" s="36"/>
      <x:c r="G226" s="33"/>
      <x:c r="H226" s="33"/>
      <x:c r="I226" s="33"/>
      <x:c r="J226" s="33"/>
      <x:c r="K226" s="33"/>
      <x:c r="L226" s="33"/>
      <x:c r="M226" s="33"/>
      <x:c r="N226" s="37"/>
      <x:c r="O226" s="33"/>
      <x:c r="P226" s="33"/>
      <x:c r="Q226" s="33"/>
      <x:c r="R226" s="37"/>
      <x:c r="S226" s="33"/>
      <x:c r="T226" s="33"/>
      <x:c r="U226" s="33"/>
      <x:c r="V226" s="38"/>
      <x:c r="W226" s="34"/>
      <x:c r="X226" s="34"/>
      <x:c r="Y226" s="34"/>
      <x:c r="Z226" s="34"/>
      <x:c r="AA226" s="34"/>
      <x:c r="AB226" s="34"/>
      <x:c r="AC226" s="34"/>
      <x:c r="AD226" s="34"/>
      <x:c r="AE226" s="34"/>
      <x:c r="AF226" s="34"/>
      <x:c r="AG226" s="34"/>
      <x:c r="AH226" s="35" t="str">
        <x:f>IF(COUNTA(X226:AA226)&lt;4,"",ROUND((X226*20)*45%+(((Y226-1)/4*100)*30%+((Z226-1)/4*100)*25%+(1-(AA226-1)/4)*100*25%+(1-(MAX(1,AC226:AE226)-1)/4)*100*20%)*55%,0))</x:f>
      </x:c>
      <x:c r="AI226" s="35" t="str">
        <x:f>IF(AH226="","",IF(AH226&gt;=85,"Excelente",IF(AH226&gt;=70,"Adequado",IF(AH226&gt;=50,"Atenção","Crítico"))))</x:f>
      </x:c>
    </x:row>
    <x:row r="227">
      <x:c r="A227" s="33"/>
      <x:c r="B227" s="33"/>
      <x:c r="C227" s="33"/>
      <x:c r="D227" s="33"/>
      <x:c r="E227" s="36"/>
      <x:c r="F227" s="36"/>
      <x:c r="G227" s="33"/>
      <x:c r="H227" s="33"/>
      <x:c r="I227" s="33"/>
      <x:c r="J227" s="33"/>
      <x:c r="K227" s="33"/>
      <x:c r="L227" s="33"/>
      <x:c r="M227" s="33"/>
      <x:c r="N227" s="37"/>
      <x:c r="O227" s="33"/>
      <x:c r="P227" s="33"/>
      <x:c r="Q227" s="33"/>
      <x:c r="R227" s="37"/>
      <x:c r="S227" s="33"/>
      <x:c r="T227" s="33"/>
      <x:c r="U227" s="33"/>
      <x:c r="V227" s="38"/>
      <x:c r="W227" s="34"/>
      <x:c r="X227" s="34"/>
      <x:c r="Y227" s="34"/>
      <x:c r="Z227" s="34"/>
      <x:c r="AA227" s="34"/>
      <x:c r="AB227" s="34"/>
      <x:c r="AC227" s="34"/>
      <x:c r="AD227" s="34"/>
      <x:c r="AE227" s="34"/>
      <x:c r="AF227" s="34"/>
      <x:c r="AG227" s="34"/>
      <x:c r="AH227" s="35" t="str">
        <x:f>IF(COUNTA(X227:AA227)&lt;4,"",ROUND((X227*20)*45%+(((Y227-1)/4*100)*30%+((Z227-1)/4*100)*25%+(1-(AA227-1)/4)*100*25%+(1-(MAX(1,AC227:AE227)-1)/4)*100*20%)*55%,0))</x:f>
      </x:c>
      <x:c r="AI227" s="35" t="str">
        <x:f>IF(AH227="","",IF(AH227&gt;=85,"Excelente",IF(AH227&gt;=70,"Adequado",IF(AH227&gt;=50,"Atenção","Crítico"))))</x:f>
      </x:c>
    </x:row>
    <x:row r="228">
      <x:c r="A228" s="33"/>
      <x:c r="B228" s="33"/>
      <x:c r="C228" s="33"/>
      <x:c r="D228" s="33"/>
      <x:c r="E228" s="36"/>
      <x:c r="F228" s="36"/>
      <x:c r="G228" s="33"/>
      <x:c r="H228" s="33"/>
      <x:c r="I228" s="33"/>
      <x:c r="J228" s="33"/>
      <x:c r="K228" s="33"/>
      <x:c r="L228" s="33"/>
      <x:c r="M228" s="33"/>
      <x:c r="N228" s="37"/>
      <x:c r="O228" s="33"/>
      <x:c r="P228" s="33"/>
      <x:c r="Q228" s="33"/>
      <x:c r="R228" s="37"/>
      <x:c r="S228" s="33"/>
      <x:c r="T228" s="33"/>
      <x:c r="U228" s="33"/>
      <x:c r="V228" s="38"/>
      <x:c r="W228" s="34"/>
      <x:c r="X228" s="34"/>
      <x:c r="Y228" s="34"/>
      <x:c r="Z228" s="34"/>
      <x:c r="AA228" s="34"/>
      <x:c r="AB228" s="34"/>
      <x:c r="AC228" s="34"/>
      <x:c r="AD228" s="34"/>
      <x:c r="AE228" s="34"/>
      <x:c r="AF228" s="34"/>
      <x:c r="AG228" s="34"/>
      <x:c r="AH228" s="35" t="str">
        <x:f>IF(COUNTA(X228:AA228)&lt;4,"",ROUND((X228*20)*45%+(((Y228-1)/4*100)*30%+((Z228-1)/4*100)*25%+(1-(AA228-1)/4)*100*25%+(1-(MAX(1,AC228:AE228)-1)/4)*100*20%)*55%,0))</x:f>
      </x:c>
      <x:c r="AI228" s="35" t="str">
        <x:f>IF(AH228="","",IF(AH228&gt;=85,"Excelente",IF(AH228&gt;=70,"Adequado",IF(AH228&gt;=50,"Atenção","Crítico"))))</x:f>
      </x:c>
    </x:row>
    <x:row r="229">
      <x:c r="A229" s="33"/>
      <x:c r="B229" s="33"/>
      <x:c r="C229" s="33"/>
      <x:c r="D229" s="33"/>
      <x:c r="E229" s="36"/>
      <x:c r="F229" s="36"/>
      <x:c r="G229" s="33"/>
      <x:c r="H229" s="33"/>
      <x:c r="I229" s="33"/>
      <x:c r="J229" s="33"/>
      <x:c r="K229" s="33"/>
      <x:c r="L229" s="33"/>
      <x:c r="M229" s="33"/>
      <x:c r="N229" s="37"/>
      <x:c r="O229" s="33"/>
      <x:c r="P229" s="33"/>
      <x:c r="Q229" s="33"/>
      <x:c r="R229" s="37"/>
      <x:c r="S229" s="33"/>
      <x:c r="T229" s="33"/>
      <x:c r="U229" s="33"/>
      <x:c r="V229" s="38"/>
      <x:c r="W229" s="34"/>
      <x:c r="X229" s="34"/>
      <x:c r="Y229" s="34"/>
      <x:c r="Z229" s="34"/>
      <x:c r="AA229" s="34"/>
      <x:c r="AB229" s="34"/>
      <x:c r="AC229" s="34"/>
      <x:c r="AD229" s="34"/>
      <x:c r="AE229" s="34"/>
      <x:c r="AF229" s="34"/>
      <x:c r="AG229" s="34"/>
      <x:c r="AH229" s="35" t="str">
        <x:f>IF(COUNTA(X229:AA229)&lt;4,"",ROUND((X229*20)*45%+(((Y229-1)/4*100)*30%+((Z229-1)/4*100)*25%+(1-(AA229-1)/4)*100*25%+(1-(MAX(1,AC229:AE229)-1)/4)*100*20%)*55%,0))</x:f>
      </x:c>
      <x:c r="AI229" s="35" t="str">
        <x:f>IF(AH229="","",IF(AH229&gt;=85,"Excelente",IF(AH229&gt;=70,"Adequado",IF(AH229&gt;=50,"Atenção","Crítico"))))</x:f>
      </x:c>
    </x:row>
    <x:row r="230">
      <x:c r="A230" s="33"/>
      <x:c r="B230" s="33"/>
      <x:c r="C230" s="33"/>
      <x:c r="D230" s="33"/>
      <x:c r="E230" s="36"/>
      <x:c r="F230" s="36"/>
      <x:c r="G230" s="33"/>
      <x:c r="H230" s="33"/>
      <x:c r="I230" s="33"/>
      <x:c r="J230" s="33"/>
      <x:c r="K230" s="33"/>
      <x:c r="L230" s="33"/>
      <x:c r="M230" s="33"/>
      <x:c r="N230" s="37"/>
      <x:c r="O230" s="33"/>
      <x:c r="P230" s="33"/>
      <x:c r="Q230" s="33"/>
      <x:c r="R230" s="37"/>
      <x:c r="S230" s="33"/>
      <x:c r="T230" s="33"/>
      <x:c r="U230" s="33"/>
      <x:c r="V230" s="38"/>
      <x:c r="W230" s="34"/>
      <x:c r="X230" s="34"/>
      <x:c r="Y230" s="34"/>
      <x:c r="Z230" s="34"/>
      <x:c r="AA230" s="34"/>
      <x:c r="AB230" s="34"/>
      <x:c r="AC230" s="34"/>
      <x:c r="AD230" s="34"/>
      <x:c r="AE230" s="34"/>
      <x:c r="AF230" s="34"/>
      <x:c r="AG230" s="34"/>
      <x:c r="AH230" s="35" t="str">
        <x:f>IF(COUNTA(X230:AA230)&lt;4,"",ROUND((X230*20)*45%+(((Y230-1)/4*100)*30%+((Z230-1)/4*100)*25%+(1-(AA230-1)/4)*100*25%+(1-(MAX(1,AC230:AE230)-1)/4)*100*20%)*55%,0))</x:f>
      </x:c>
      <x:c r="AI230" s="35" t="str">
        <x:f>IF(AH230="","",IF(AH230&gt;=85,"Excelente",IF(AH230&gt;=70,"Adequado",IF(AH230&gt;=50,"Atenção","Crítico"))))</x:f>
      </x:c>
    </x:row>
    <x:row r="231">
      <x:c r="A231" s="33"/>
      <x:c r="B231" s="33"/>
      <x:c r="C231" s="33"/>
      <x:c r="D231" s="33"/>
      <x:c r="E231" s="36"/>
      <x:c r="F231" s="36"/>
      <x:c r="G231" s="33"/>
      <x:c r="H231" s="33"/>
      <x:c r="I231" s="33"/>
      <x:c r="J231" s="33"/>
      <x:c r="K231" s="33"/>
      <x:c r="L231" s="33"/>
      <x:c r="M231" s="33"/>
      <x:c r="N231" s="37"/>
      <x:c r="O231" s="33"/>
      <x:c r="P231" s="33"/>
      <x:c r="Q231" s="33"/>
      <x:c r="R231" s="37"/>
      <x:c r="S231" s="33"/>
      <x:c r="T231" s="33"/>
      <x:c r="U231" s="33"/>
      <x:c r="V231" s="38"/>
      <x:c r="W231" s="34"/>
      <x:c r="X231" s="34"/>
      <x:c r="Y231" s="34"/>
      <x:c r="Z231" s="34"/>
      <x:c r="AA231" s="34"/>
      <x:c r="AB231" s="34"/>
      <x:c r="AC231" s="34"/>
      <x:c r="AD231" s="34"/>
      <x:c r="AE231" s="34"/>
      <x:c r="AF231" s="34"/>
      <x:c r="AG231" s="34"/>
      <x:c r="AH231" s="35" t="str">
        <x:f>IF(COUNTA(X231:AA231)&lt;4,"",ROUND((X231*20)*45%+(((Y231-1)/4*100)*30%+((Z231-1)/4*100)*25%+(1-(AA231-1)/4)*100*25%+(1-(MAX(1,AC231:AE231)-1)/4)*100*20%)*55%,0))</x:f>
      </x:c>
      <x:c r="AI231" s="35" t="str">
        <x:f>IF(AH231="","",IF(AH231&gt;=85,"Excelente",IF(AH231&gt;=70,"Adequado",IF(AH231&gt;=50,"Atenção","Crítico"))))</x:f>
      </x:c>
    </x:row>
    <x:row r="232">
      <x:c r="A232" s="33"/>
      <x:c r="B232" s="33"/>
      <x:c r="C232" s="33"/>
      <x:c r="D232" s="33"/>
      <x:c r="E232" s="36"/>
      <x:c r="F232" s="36"/>
      <x:c r="G232" s="33"/>
      <x:c r="H232" s="33"/>
      <x:c r="I232" s="33"/>
      <x:c r="J232" s="33"/>
      <x:c r="K232" s="33"/>
      <x:c r="L232" s="33"/>
      <x:c r="M232" s="33"/>
      <x:c r="N232" s="37"/>
      <x:c r="O232" s="33"/>
      <x:c r="P232" s="33"/>
      <x:c r="Q232" s="33"/>
      <x:c r="R232" s="37"/>
      <x:c r="S232" s="33"/>
      <x:c r="T232" s="33"/>
      <x:c r="U232" s="33"/>
      <x:c r="V232" s="38"/>
      <x:c r="W232" s="34"/>
      <x:c r="X232" s="34"/>
      <x:c r="Y232" s="34"/>
      <x:c r="Z232" s="34"/>
      <x:c r="AA232" s="34"/>
      <x:c r="AB232" s="34"/>
      <x:c r="AC232" s="34"/>
      <x:c r="AD232" s="34"/>
      <x:c r="AE232" s="34"/>
      <x:c r="AF232" s="34"/>
      <x:c r="AG232" s="34"/>
      <x:c r="AH232" s="35" t="str">
        <x:f>IF(COUNTA(X232:AA232)&lt;4,"",ROUND((X232*20)*45%+(((Y232-1)/4*100)*30%+((Z232-1)/4*100)*25%+(1-(AA232-1)/4)*100*25%+(1-(MAX(1,AC232:AE232)-1)/4)*100*20%)*55%,0))</x:f>
      </x:c>
      <x:c r="AI232" s="35" t="str">
        <x:f>IF(AH232="","",IF(AH232&gt;=85,"Excelente",IF(AH232&gt;=70,"Adequado",IF(AH232&gt;=50,"Atenção","Crítico"))))</x:f>
      </x:c>
    </x:row>
    <x:row r="233">
      <x:c r="A233" s="33"/>
      <x:c r="B233" s="33"/>
      <x:c r="C233" s="33"/>
      <x:c r="D233" s="33"/>
      <x:c r="E233" s="36"/>
      <x:c r="F233" s="36"/>
      <x:c r="G233" s="33"/>
      <x:c r="H233" s="33"/>
      <x:c r="I233" s="33"/>
      <x:c r="J233" s="33"/>
      <x:c r="K233" s="33"/>
      <x:c r="L233" s="33"/>
      <x:c r="M233" s="33"/>
      <x:c r="N233" s="37"/>
      <x:c r="O233" s="33"/>
      <x:c r="P233" s="33"/>
      <x:c r="Q233" s="33"/>
      <x:c r="R233" s="37"/>
      <x:c r="S233" s="33"/>
      <x:c r="T233" s="33"/>
      <x:c r="U233" s="33"/>
      <x:c r="V233" s="38"/>
      <x:c r="W233" s="34"/>
      <x:c r="X233" s="34"/>
      <x:c r="Y233" s="34"/>
      <x:c r="Z233" s="34"/>
      <x:c r="AA233" s="34"/>
      <x:c r="AB233" s="34"/>
      <x:c r="AC233" s="34"/>
      <x:c r="AD233" s="34"/>
      <x:c r="AE233" s="34"/>
      <x:c r="AF233" s="34"/>
      <x:c r="AG233" s="34"/>
      <x:c r="AH233" s="35" t="str">
        <x:f>IF(COUNTA(X233:AA233)&lt;4,"",ROUND((X233*20)*45%+(((Y233-1)/4*100)*30%+((Z233-1)/4*100)*25%+(1-(AA233-1)/4)*100*25%+(1-(MAX(1,AC233:AE233)-1)/4)*100*20%)*55%,0))</x:f>
      </x:c>
      <x:c r="AI233" s="35" t="str">
        <x:f>IF(AH233="","",IF(AH233&gt;=85,"Excelente",IF(AH233&gt;=70,"Adequado",IF(AH233&gt;=50,"Atenção","Crítico"))))</x:f>
      </x:c>
    </x:row>
    <x:row r="234">
      <x:c r="A234" s="33"/>
      <x:c r="B234" s="33"/>
      <x:c r="C234" s="33"/>
      <x:c r="D234" s="33"/>
      <x:c r="E234" s="36"/>
      <x:c r="F234" s="36"/>
      <x:c r="G234" s="33"/>
      <x:c r="H234" s="33"/>
      <x:c r="I234" s="33"/>
      <x:c r="J234" s="33"/>
      <x:c r="K234" s="33"/>
      <x:c r="L234" s="33"/>
      <x:c r="M234" s="33"/>
      <x:c r="N234" s="37"/>
      <x:c r="O234" s="33"/>
      <x:c r="P234" s="33"/>
      <x:c r="Q234" s="33"/>
      <x:c r="R234" s="37"/>
      <x:c r="S234" s="33"/>
      <x:c r="T234" s="33"/>
      <x:c r="U234" s="33"/>
      <x:c r="V234" s="38"/>
      <x:c r="W234" s="34"/>
      <x:c r="X234" s="34"/>
      <x:c r="Y234" s="34"/>
      <x:c r="Z234" s="34"/>
      <x:c r="AA234" s="34"/>
      <x:c r="AB234" s="34"/>
      <x:c r="AC234" s="34"/>
      <x:c r="AD234" s="34"/>
      <x:c r="AE234" s="34"/>
      <x:c r="AF234" s="34"/>
      <x:c r="AG234" s="34"/>
      <x:c r="AH234" s="35" t="str">
        <x:f>IF(COUNTA(X234:AA234)&lt;4,"",ROUND((X234*20)*45%+(((Y234-1)/4*100)*30%+((Z234-1)/4*100)*25%+(1-(AA234-1)/4)*100*25%+(1-(MAX(1,AC234:AE234)-1)/4)*100*20%)*55%,0))</x:f>
      </x:c>
      <x:c r="AI234" s="35" t="str">
        <x:f>IF(AH234="","",IF(AH234&gt;=85,"Excelente",IF(AH234&gt;=70,"Adequado",IF(AH234&gt;=50,"Atenção","Crítico"))))</x:f>
      </x:c>
    </x:row>
    <x:row r="235">
      <x:c r="A235" s="33"/>
      <x:c r="B235" s="33"/>
      <x:c r="C235" s="33"/>
      <x:c r="D235" s="33"/>
      <x:c r="E235" s="36"/>
      <x:c r="F235" s="36"/>
      <x:c r="G235" s="33"/>
      <x:c r="H235" s="33"/>
      <x:c r="I235" s="33"/>
      <x:c r="J235" s="33"/>
      <x:c r="K235" s="33"/>
      <x:c r="L235" s="33"/>
      <x:c r="M235" s="33"/>
      <x:c r="N235" s="37"/>
      <x:c r="O235" s="33"/>
      <x:c r="P235" s="33"/>
      <x:c r="Q235" s="33"/>
      <x:c r="R235" s="37"/>
      <x:c r="S235" s="33"/>
      <x:c r="T235" s="33"/>
      <x:c r="U235" s="33"/>
      <x:c r="V235" s="38"/>
      <x:c r="W235" s="34"/>
      <x:c r="X235" s="34"/>
      <x:c r="Y235" s="34"/>
      <x:c r="Z235" s="34"/>
      <x:c r="AA235" s="34"/>
      <x:c r="AB235" s="34"/>
      <x:c r="AC235" s="34"/>
      <x:c r="AD235" s="34"/>
      <x:c r="AE235" s="34"/>
      <x:c r="AF235" s="34"/>
      <x:c r="AG235" s="34"/>
      <x:c r="AH235" s="35" t="str">
        <x:f>IF(COUNTA(X235:AA235)&lt;4,"",ROUND((X235*20)*45%+(((Y235-1)/4*100)*30%+((Z235-1)/4*100)*25%+(1-(AA235-1)/4)*100*25%+(1-(MAX(1,AC235:AE235)-1)/4)*100*20%)*55%,0))</x:f>
      </x:c>
      <x:c r="AI235" s="35" t="str">
        <x:f>IF(AH235="","",IF(AH235&gt;=85,"Excelente",IF(AH235&gt;=70,"Adequado",IF(AH235&gt;=50,"Atenção","Crítico"))))</x:f>
      </x:c>
    </x:row>
    <x:row r="236">
      <x:c r="A236" s="33"/>
      <x:c r="B236" s="33"/>
      <x:c r="C236" s="33"/>
      <x:c r="D236" s="33"/>
      <x:c r="E236" s="36"/>
      <x:c r="F236" s="36"/>
      <x:c r="G236" s="33"/>
      <x:c r="H236" s="33"/>
      <x:c r="I236" s="33"/>
      <x:c r="J236" s="33"/>
      <x:c r="K236" s="33"/>
      <x:c r="L236" s="33"/>
      <x:c r="M236" s="33"/>
      <x:c r="N236" s="37"/>
      <x:c r="O236" s="33"/>
      <x:c r="P236" s="33"/>
      <x:c r="Q236" s="33"/>
      <x:c r="R236" s="37"/>
      <x:c r="S236" s="33"/>
      <x:c r="T236" s="33"/>
      <x:c r="U236" s="33"/>
      <x:c r="V236" s="38"/>
      <x:c r="W236" s="34"/>
      <x:c r="X236" s="34"/>
      <x:c r="Y236" s="34"/>
      <x:c r="Z236" s="34"/>
      <x:c r="AA236" s="34"/>
      <x:c r="AB236" s="34"/>
      <x:c r="AC236" s="34"/>
      <x:c r="AD236" s="34"/>
      <x:c r="AE236" s="34"/>
      <x:c r="AF236" s="34"/>
      <x:c r="AG236" s="34"/>
      <x:c r="AH236" s="35" t="str">
        <x:f>IF(COUNTA(X236:AA236)&lt;4,"",ROUND((X236*20)*45%+(((Y236-1)/4*100)*30%+((Z236-1)/4*100)*25%+(1-(AA236-1)/4)*100*25%+(1-(MAX(1,AC236:AE236)-1)/4)*100*20%)*55%,0))</x:f>
      </x:c>
      <x:c r="AI236" s="35" t="str">
        <x:f>IF(AH236="","",IF(AH236&gt;=85,"Excelente",IF(AH236&gt;=70,"Adequado",IF(AH236&gt;=50,"Atenção","Crítico"))))</x:f>
      </x:c>
    </x:row>
    <x:row r="237">
      <x:c r="A237" s="33"/>
      <x:c r="B237" s="33"/>
      <x:c r="C237" s="33"/>
      <x:c r="D237" s="33"/>
      <x:c r="E237" s="36"/>
      <x:c r="F237" s="36"/>
      <x:c r="G237" s="33"/>
      <x:c r="H237" s="33"/>
      <x:c r="I237" s="33"/>
      <x:c r="J237" s="33"/>
      <x:c r="K237" s="33"/>
      <x:c r="L237" s="33"/>
      <x:c r="M237" s="33"/>
      <x:c r="N237" s="37"/>
      <x:c r="O237" s="33"/>
      <x:c r="P237" s="33"/>
      <x:c r="Q237" s="33"/>
      <x:c r="R237" s="37"/>
      <x:c r="S237" s="33"/>
      <x:c r="T237" s="33"/>
      <x:c r="U237" s="33"/>
      <x:c r="V237" s="38"/>
      <x:c r="W237" s="34"/>
      <x:c r="X237" s="34"/>
      <x:c r="Y237" s="34"/>
      <x:c r="Z237" s="34"/>
      <x:c r="AA237" s="34"/>
      <x:c r="AB237" s="34"/>
      <x:c r="AC237" s="34"/>
      <x:c r="AD237" s="34"/>
      <x:c r="AE237" s="34"/>
      <x:c r="AF237" s="34"/>
      <x:c r="AG237" s="34"/>
      <x:c r="AH237" s="35" t="str">
        <x:f>IF(COUNTA(X237:AA237)&lt;4,"",ROUND((X237*20)*45%+(((Y237-1)/4*100)*30%+((Z237-1)/4*100)*25%+(1-(AA237-1)/4)*100*25%+(1-(MAX(1,AC237:AE237)-1)/4)*100*20%)*55%,0))</x:f>
      </x:c>
      <x:c r="AI237" s="35" t="str">
        <x:f>IF(AH237="","",IF(AH237&gt;=85,"Excelente",IF(AH237&gt;=70,"Adequado",IF(AH237&gt;=50,"Atenção","Crítico"))))</x:f>
      </x:c>
    </x:row>
    <x:row r="238">
      <x:c r="A238" s="33"/>
      <x:c r="B238" s="33"/>
      <x:c r="C238" s="33"/>
      <x:c r="D238" s="33"/>
      <x:c r="E238" s="36"/>
      <x:c r="F238" s="36"/>
      <x:c r="G238" s="33"/>
      <x:c r="H238" s="33"/>
      <x:c r="I238" s="33"/>
      <x:c r="J238" s="33"/>
      <x:c r="K238" s="33"/>
      <x:c r="L238" s="33"/>
      <x:c r="M238" s="33"/>
      <x:c r="N238" s="37"/>
      <x:c r="O238" s="33"/>
      <x:c r="P238" s="33"/>
      <x:c r="Q238" s="33"/>
      <x:c r="R238" s="37"/>
      <x:c r="S238" s="33"/>
      <x:c r="T238" s="33"/>
      <x:c r="U238" s="33"/>
      <x:c r="V238" s="38"/>
      <x:c r="W238" s="34"/>
      <x:c r="X238" s="34"/>
      <x:c r="Y238" s="34"/>
      <x:c r="Z238" s="34"/>
      <x:c r="AA238" s="34"/>
      <x:c r="AB238" s="34"/>
      <x:c r="AC238" s="34"/>
      <x:c r="AD238" s="34"/>
      <x:c r="AE238" s="34"/>
      <x:c r="AF238" s="34"/>
      <x:c r="AG238" s="34"/>
      <x:c r="AH238" s="35" t="str">
        <x:f>IF(COUNTA(X238:AA238)&lt;4,"",ROUND((X238*20)*45%+(((Y238-1)/4*100)*30%+((Z238-1)/4*100)*25%+(1-(AA238-1)/4)*100*25%+(1-(MAX(1,AC238:AE238)-1)/4)*100*20%)*55%,0))</x:f>
      </x:c>
      <x:c r="AI238" s="35" t="str">
        <x:f>IF(AH238="","",IF(AH238&gt;=85,"Excelente",IF(AH238&gt;=70,"Adequado",IF(AH238&gt;=50,"Atenção","Crítico"))))</x:f>
      </x:c>
    </x:row>
    <x:row r="239">
      <x:c r="A239" s="33"/>
      <x:c r="B239" s="33"/>
      <x:c r="C239" s="33"/>
      <x:c r="D239" s="33"/>
      <x:c r="E239" s="36"/>
      <x:c r="F239" s="36"/>
      <x:c r="G239" s="33"/>
      <x:c r="H239" s="33"/>
      <x:c r="I239" s="33"/>
      <x:c r="J239" s="33"/>
      <x:c r="K239" s="33"/>
      <x:c r="L239" s="33"/>
      <x:c r="M239" s="33"/>
      <x:c r="N239" s="37"/>
      <x:c r="O239" s="33"/>
      <x:c r="P239" s="33"/>
      <x:c r="Q239" s="33"/>
      <x:c r="R239" s="37"/>
      <x:c r="S239" s="33"/>
      <x:c r="T239" s="33"/>
      <x:c r="U239" s="33"/>
      <x:c r="V239" s="38"/>
      <x:c r="W239" s="34"/>
      <x:c r="X239" s="34"/>
      <x:c r="Y239" s="34"/>
      <x:c r="Z239" s="34"/>
      <x:c r="AA239" s="34"/>
      <x:c r="AB239" s="34"/>
      <x:c r="AC239" s="34"/>
      <x:c r="AD239" s="34"/>
      <x:c r="AE239" s="34"/>
      <x:c r="AF239" s="34"/>
      <x:c r="AG239" s="34"/>
      <x:c r="AH239" s="35" t="str">
        <x:f>IF(COUNTA(X239:AA239)&lt;4,"",ROUND((X239*20)*45%+(((Y239-1)/4*100)*30%+((Z239-1)/4*100)*25%+(1-(AA239-1)/4)*100*25%+(1-(MAX(1,AC239:AE239)-1)/4)*100*20%)*55%,0))</x:f>
      </x:c>
      <x:c r="AI239" s="35" t="str">
        <x:f>IF(AH239="","",IF(AH239&gt;=85,"Excelente",IF(AH239&gt;=70,"Adequado",IF(AH239&gt;=50,"Atenção","Crítico"))))</x:f>
      </x:c>
    </x:row>
    <x:row r="240">
      <x:c r="A240" s="33"/>
      <x:c r="B240" s="33"/>
      <x:c r="C240" s="33"/>
      <x:c r="D240" s="33"/>
      <x:c r="E240" s="36"/>
      <x:c r="F240" s="36"/>
      <x:c r="G240" s="33"/>
      <x:c r="H240" s="33"/>
      <x:c r="I240" s="33"/>
      <x:c r="J240" s="33"/>
      <x:c r="K240" s="33"/>
      <x:c r="L240" s="33"/>
      <x:c r="M240" s="33"/>
      <x:c r="N240" s="37"/>
      <x:c r="O240" s="33"/>
      <x:c r="P240" s="33"/>
      <x:c r="Q240" s="33"/>
      <x:c r="R240" s="37"/>
      <x:c r="S240" s="33"/>
      <x:c r="T240" s="33"/>
      <x:c r="U240" s="33"/>
      <x:c r="V240" s="38"/>
      <x:c r="W240" s="34"/>
      <x:c r="X240" s="34"/>
      <x:c r="Y240" s="34"/>
      <x:c r="Z240" s="34"/>
      <x:c r="AA240" s="34"/>
      <x:c r="AB240" s="34"/>
      <x:c r="AC240" s="34"/>
      <x:c r="AD240" s="34"/>
      <x:c r="AE240" s="34"/>
      <x:c r="AF240" s="34"/>
      <x:c r="AG240" s="34"/>
      <x:c r="AH240" s="35" t="str">
        <x:f>IF(COUNTA(X240:AA240)&lt;4,"",ROUND((X240*20)*45%+(((Y240-1)/4*100)*30%+((Z240-1)/4*100)*25%+(1-(AA240-1)/4)*100*25%+(1-(MAX(1,AC240:AE240)-1)/4)*100*20%)*55%,0))</x:f>
      </x:c>
      <x:c r="AI240" s="35" t="str">
        <x:f>IF(AH240="","",IF(AH240&gt;=85,"Excelente",IF(AH240&gt;=70,"Adequado",IF(AH240&gt;=50,"Atenção","Crítico"))))</x:f>
      </x:c>
    </x:row>
    <x:row r="241">
      <x:c r="A241" s="33"/>
      <x:c r="B241" s="33"/>
      <x:c r="C241" s="33"/>
      <x:c r="D241" s="33"/>
      <x:c r="E241" s="36"/>
      <x:c r="F241" s="36"/>
      <x:c r="G241" s="33"/>
      <x:c r="H241" s="33"/>
      <x:c r="I241" s="33"/>
      <x:c r="J241" s="33"/>
      <x:c r="K241" s="33"/>
      <x:c r="L241" s="33"/>
      <x:c r="M241" s="33"/>
      <x:c r="N241" s="37"/>
      <x:c r="O241" s="33"/>
      <x:c r="P241" s="33"/>
      <x:c r="Q241" s="33"/>
      <x:c r="R241" s="37"/>
      <x:c r="S241" s="33"/>
      <x:c r="T241" s="33"/>
      <x:c r="U241" s="33"/>
      <x:c r="V241" s="38"/>
      <x:c r="W241" s="34"/>
      <x:c r="X241" s="34"/>
      <x:c r="Y241" s="34"/>
      <x:c r="Z241" s="34"/>
      <x:c r="AA241" s="34"/>
      <x:c r="AB241" s="34"/>
      <x:c r="AC241" s="34"/>
      <x:c r="AD241" s="34"/>
      <x:c r="AE241" s="34"/>
      <x:c r="AF241" s="34"/>
      <x:c r="AG241" s="34"/>
      <x:c r="AH241" s="35" t="str">
        <x:f>IF(COUNTA(X241:AA241)&lt;4,"",ROUND((X241*20)*45%+(((Y241-1)/4*100)*30%+((Z241-1)/4*100)*25%+(1-(AA241-1)/4)*100*25%+(1-(MAX(1,AC241:AE241)-1)/4)*100*20%)*55%,0))</x:f>
      </x:c>
      <x:c r="AI241" s="35" t="str">
        <x:f>IF(AH241="","",IF(AH241&gt;=85,"Excelente",IF(AH241&gt;=70,"Adequado",IF(AH241&gt;=50,"Atenção","Crítico"))))</x:f>
      </x:c>
    </x:row>
    <x:row r="242">
      <x:c r="A242" s="33"/>
      <x:c r="B242" s="33"/>
      <x:c r="C242" s="33"/>
      <x:c r="D242" s="33"/>
      <x:c r="E242" s="36"/>
      <x:c r="F242" s="36"/>
      <x:c r="G242" s="33"/>
      <x:c r="H242" s="33"/>
      <x:c r="I242" s="33"/>
      <x:c r="J242" s="33"/>
      <x:c r="K242" s="33"/>
      <x:c r="L242" s="33"/>
      <x:c r="M242" s="33"/>
      <x:c r="N242" s="37"/>
      <x:c r="O242" s="33"/>
      <x:c r="P242" s="33"/>
      <x:c r="Q242" s="33"/>
      <x:c r="R242" s="37"/>
      <x:c r="S242" s="33"/>
      <x:c r="T242" s="33"/>
      <x:c r="U242" s="33"/>
      <x:c r="V242" s="38"/>
      <x:c r="W242" s="34"/>
      <x:c r="X242" s="34"/>
      <x:c r="Y242" s="34"/>
      <x:c r="Z242" s="34"/>
      <x:c r="AA242" s="34"/>
      <x:c r="AB242" s="34"/>
      <x:c r="AC242" s="34"/>
      <x:c r="AD242" s="34"/>
      <x:c r="AE242" s="34"/>
      <x:c r="AF242" s="34"/>
      <x:c r="AG242" s="34"/>
      <x:c r="AH242" s="35" t="str">
        <x:f>IF(COUNTA(X242:AA242)&lt;4,"",ROUND((X242*20)*45%+(((Y242-1)/4*100)*30%+((Z242-1)/4*100)*25%+(1-(AA242-1)/4)*100*25%+(1-(MAX(1,AC242:AE242)-1)/4)*100*20%)*55%,0))</x:f>
      </x:c>
      <x:c r="AI242" s="35" t="str">
        <x:f>IF(AH242="","",IF(AH242&gt;=85,"Excelente",IF(AH242&gt;=70,"Adequado",IF(AH242&gt;=50,"Atenção","Crítico"))))</x:f>
      </x:c>
    </x:row>
    <x:row r="243">
      <x:c r="A243" s="33"/>
      <x:c r="B243" s="33"/>
      <x:c r="C243" s="33"/>
      <x:c r="D243" s="33"/>
      <x:c r="E243" s="36"/>
      <x:c r="F243" s="36"/>
      <x:c r="G243" s="33"/>
      <x:c r="H243" s="33"/>
      <x:c r="I243" s="33"/>
      <x:c r="J243" s="33"/>
      <x:c r="K243" s="33"/>
      <x:c r="L243" s="33"/>
      <x:c r="M243" s="33"/>
      <x:c r="N243" s="37"/>
      <x:c r="O243" s="33"/>
      <x:c r="P243" s="33"/>
      <x:c r="Q243" s="33"/>
      <x:c r="R243" s="37"/>
      <x:c r="S243" s="33"/>
      <x:c r="T243" s="33"/>
      <x:c r="U243" s="33"/>
      <x:c r="V243" s="38"/>
      <x:c r="W243" s="34"/>
      <x:c r="X243" s="34"/>
      <x:c r="Y243" s="34"/>
      <x:c r="Z243" s="34"/>
      <x:c r="AA243" s="34"/>
      <x:c r="AB243" s="34"/>
      <x:c r="AC243" s="34"/>
      <x:c r="AD243" s="34"/>
      <x:c r="AE243" s="34"/>
      <x:c r="AF243" s="34"/>
      <x:c r="AG243" s="34"/>
      <x:c r="AH243" s="35" t="str">
        <x:f>IF(COUNTA(X243:AA243)&lt;4,"",ROUND((X243*20)*45%+(((Y243-1)/4*100)*30%+((Z243-1)/4*100)*25%+(1-(AA243-1)/4)*100*25%+(1-(MAX(1,AC243:AE243)-1)/4)*100*20%)*55%,0))</x:f>
      </x:c>
      <x:c r="AI243" s="35" t="str">
        <x:f>IF(AH243="","",IF(AH243&gt;=85,"Excelente",IF(AH243&gt;=70,"Adequado",IF(AH243&gt;=50,"Atenção","Crítico"))))</x:f>
      </x:c>
    </x:row>
    <x:row r="244">
      <x:c r="A244" s="33"/>
      <x:c r="B244" s="33"/>
      <x:c r="C244" s="33"/>
      <x:c r="D244" s="33"/>
      <x:c r="E244" s="36"/>
      <x:c r="F244" s="36"/>
      <x:c r="G244" s="33"/>
      <x:c r="H244" s="33"/>
      <x:c r="I244" s="33"/>
      <x:c r="J244" s="33"/>
      <x:c r="K244" s="33"/>
      <x:c r="L244" s="33"/>
      <x:c r="M244" s="33"/>
      <x:c r="N244" s="37"/>
      <x:c r="O244" s="33"/>
      <x:c r="P244" s="33"/>
      <x:c r="Q244" s="33"/>
      <x:c r="R244" s="37"/>
      <x:c r="S244" s="33"/>
      <x:c r="T244" s="33"/>
      <x:c r="U244" s="33"/>
      <x:c r="V244" s="38"/>
      <x:c r="W244" s="34"/>
      <x:c r="X244" s="34"/>
      <x:c r="Y244" s="34"/>
      <x:c r="Z244" s="34"/>
      <x:c r="AA244" s="34"/>
      <x:c r="AB244" s="34"/>
      <x:c r="AC244" s="34"/>
      <x:c r="AD244" s="34"/>
      <x:c r="AE244" s="34"/>
      <x:c r="AF244" s="34"/>
      <x:c r="AG244" s="34"/>
      <x:c r="AH244" s="35" t="str">
        <x:f>IF(COUNTA(X244:AA244)&lt;4,"",ROUND((X244*20)*45%+(((Y244-1)/4*100)*30%+((Z244-1)/4*100)*25%+(1-(AA244-1)/4)*100*25%+(1-(MAX(1,AC244:AE244)-1)/4)*100*20%)*55%,0))</x:f>
      </x:c>
      <x:c r="AI244" s="35" t="str">
        <x:f>IF(AH244="","",IF(AH244&gt;=85,"Excelente",IF(AH244&gt;=70,"Adequado",IF(AH244&gt;=50,"Atenção","Crítico"))))</x:f>
      </x:c>
    </x:row>
    <x:row r="245">
      <x:c r="A245" s="33"/>
      <x:c r="B245" s="33"/>
      <x:c r="C245" s="33"/>
      <x:c r="D245" s="33"/>
      <x:c r="E245" s="36"/>
      <x:c r="F245" s="36"/>
      <x:c r="G245" s="33"/>
      <x:c r="H245" s="33"/>
      <x:c r="I245" s="33"/>
      <x:c r="J245" s="33"/>
      <x:c r="K245" s="33"/>
      <x:c r="L245" s="33"/>
      <x:c r="M245" s="33"/>
      <x:c r="N245" s="37"/>
      <x:c r="O245" s="33"/>
      <x:c r="P245" s="33"/>
      <x:c r="Q245" s="33"/>
      <x:c r="R245" s="37"/>
      <x:c r="S245" s="33"/>
      <x:c r="T245" s="33"/>
      <x:c r="U245" s="33"/>
      <x:c r="V245" s="38"/>
      <x:c r="W245" s="34"/>
      <x:c r="X245" s="34"/>
      <x:c r="Y245" s="34"/>
      <x:c r="Z245" s="34"/>
      <x:c r="AA245" s="34"/>
      <x:c r="AB245" s="34"/>
      <x:c r="AC245" s="34"/>
      <x:c r="AD245" s="34"/>
      <x:c r="AE245" s="34"/>
      <x:c r="AF245" s="34"/>
      <x:c r="AG245" s="34"/>
      <x:c r="AH245" s="35" t="str">
        <x:f>IF(COUNTA(X245:AA245)&lt;4,"",ROUND((X245*20)*45%+(((Y245-1)/4*100)*30%+((Z245-1)/4*100)*25%+(1-(AA245-1)/4)*100*25%+(1-(MAX(1,AC245:AE245)-1)/4)*100*20%)*55%,0))</x:f>
      </x:c>
      <x:c r="AI245" s="35" t="str">
        <x:f>IF(AH245="","",IF(AH245&gt;=85,"Excelente",IF(AH245&gt;=70,"Adequado",IF(AH245&gt;=50,"Atenção","Crítico"))))</x:f>
      </x:c>
    </x:row>
    <x:row r="246">
      <x:c r="A246" s="33"/>
      <x:c r="B246" s="33"/>
      <x:c r="C246" s="33"/>
      <x:c r="D246" s="33"/>
      <x:c r="E246" s="36"/>
      <x:c r="F246" s="36"/>
      <x:c r="G246" s="33"/>
      <x:c r="H246" s="33"/>
      <x:c r="I246" s="33"/>
      <x:c r="J246" s="33"/>
      <x:c r="K246" s="33"/>
      <x:c r="L246" s="33"/>
      <x:c r="M246" s="33"/>
      <x:c r="N246" s="37"/>
      <x:c r="O246" s="33"/>
      <x:c r="P246" s="33"/>
      <x:c r="Q246" s="33"/>
      <x:c r="R246" s="37"/>
      <x:c r="S246" s="33"/>
      <x:c r="T246" s="33"/>
      <x:c r="U246" s="33"/>
      <x:c r="V246" s="38"/>
      <x:c r="W246" s="34"/>
      <x:c r="X246" s="34"/>
      <x:c r="Y246" s="34"/>
      <x:c r="Z246" s="34"/>
      <x:c r="AA246" s="34"/>
      <x:c r="AB246" s="34"/>
      <x:c r="AC246" s="34"/>
      <x:c r="AD246" s="34"/>
      <x:c r="AE246" s="34"/>
      <x:c r="AF246" s="34"/>
      <x:c r="AG246" s="34"/>
      <x:c r="AH246" s="35" t="str">
        <x:f>IF(COUNTA(X246:AA246)&lt;4,"",ROUND((X246*20)*45%+(((Y246-1)/4*100)*30%+((Z246-1)/4*100)*25%+(1-(AA246-1)/4)*100*25%+(1-(MAX(1,AC246:AE246)-1)/4)*100*20%)*55%,0))</x:f>
      </x:c>
      <x:c r="AI246" s="35" t="str">
        <x:f>IF(AH246="","",IF(AH246&gt;=85,"Excelente",IF(AH246&gt;=70,"Adequado",IF(AH246&gt;=50,"Atenção","Crítico"))))</x:f>
      </x:c>
    </x:row>
    <x:row r="247">
      <x:c r="A247" s="33"/>
      <x:c r="B247" s="33"/>
      <x:c r="C247" s="33"/>
      <x:c r="D247" s="33"/>
      <x:c r="E247" s="36"/>
      <x:c r="F247" s="36"/>
      <x:c r="G247" s="33"/>
      <x:c r="H247" s="33"/>
      <x:c r="I247" s="33"/>
      <x:c r="J247" s="33"/>
      <x:c r="K247" s="33"/>
      <x:c r="L247" s="33"/>
      <x:c r="M247" s="33"/>
      <x:c r="N247" s="37"/>
      <x:c r="O247" s="33"/>
      <x:c r="P247" s="33"/>
      <x:c r="Q247" s="33"/>
      <x:c r="R247" s="37"/>
      <x:c r="S247" s="33"/>
      <x:c r="T247" s="33"/>
      <x:c r="U247" s="33"/>
      <x:c r="V247" s="38"/>
      <x:c r="W247" s="34"/>
      <x:c r="X247" s="34"/>
      <x:c r="Y247" s="34"/>
      <x:c r="Z247" s="34"/>
      <x:c r="AA247" s="34"/>
      <x:c r="AB247" s="34"/>
      <x:c r="AC247" s="34"/>
      <x:c r="AD247" s="34"/>
      <x:c r="AE247" s="34"/>
      <x:c r="AF247" s="34"/>
      <x:c r="AG247" s="34"/>
      <x:c r="AH247" s="35" t="str">
        <x:f>IF(COUNTA(X247:AA247)&lt;4,"",ROUND((X247*20)*45%+(((Y247-1)/4*100)*30%+((Z247-1)/4*100)*25%+(1-(AA247-1)/4)*100*25%+(1-(MAX(1,AC247:AE247)-1)/4)*100*20%)*55%,0))</x:f>
      </x:c>
      <x:c r="AI247" s="35" t="str">
        <x:f>IF(AH247="","",IF(AH247&gt;=85,"Excelente",IF(AH247&gt;=70,"Adequado",IF(AH247&gt;=50,"Atenção","Crítico"))))</x:f>
      </x:c>
    </x:row>
    <x:row r="248">
      <x:c r="A248" s="33"/>
      <x:c r="B248" s="33"/>
      <x:c r="C248" s="33"/>
      <x:c r="D248" s="33"/>
      <x:c r="E248" s="36"/>
      <x:c r="F248" s="36"/>
      <x:c r="G248" s="33"/>
      <x:c r="H248" s="33"/>
      <x:c r="I248" s="33"/>
      <x:c r="J248" s="33"/>
      <x:c r="K248" s="33"/>
      <x:c r="L248" s="33"/>
      <x:c r="M248" s="33"/>
      <x:c r="N248" s="37"/>
      <x:c r="O248" s="33"/>
      <x:c r="P248" s="33"/>
      <x:c r="Q248" s="33"/>
      <x:c r="R248" s="37"/>
      <x:c r="S248" s="33"/>
      <x:c r="T248" s="33"/>
      <x:c r="U248" s="33"/>
      <x:c r="V248" s="38"/>
      <x:c r="W248" s="34"/>
      <x:c r="X248" s="34"/>
      <x:c r="Y248" s="34"/>
      <x:c r="Z248" s="34"/>
      <x:c r="AA248" s="34"/>
      <x:c r="AB248" s="34"/>
      <x:c r="AC248" s="34"/>
      <x:c r="AD248" s="34"/>
      <x:c r="AE248" s="34"/>
      <x:c r="AF248" s="34"/>
      <x:c r="AG248" s="34"/>
      <x:c r="AH248" s="35" t="str">
        <x:f>IF(COUNTA(X248:AA248)&lt;4,"",ROUND((X248*20)*45%+(((Y248-1)/4*100)*30%+((Z248-1)/4*100)*25%+(1-(AA248-1)/4)*100*25%+(1-(MAX(1,AC248:AE248)-1)/4)*100*20%)*55%,0))</x:f>
      </x:c>
      <x:c r="AI248" s="35" t="str">
        <x:f>IF(AH248="","",IF(AH248&gt;=85,"Excelente",IF(AH248&gt;=70,"Adequado",IF(AH248&gt;=50,"Atenção","Crítico"))))</x:f>
      </x:c>
    </x:row>
    <x:row r="249">
      <x:c r="A249" s="33"/>
      <x:c r="B249" s="33"/>
      <x:c r="C249" s="33"/>
      <x:c r="D249" s="33"/>
      <x:c r="E249" s="36"/>
      <x:c r="F249" s="36"/>
      <x:c r="G249" s="33"/>
      <x:c r="H249" s="33"/>
      <x:c r="I249" s="33"/>
      <x:c r="J249" s="33"/>
      <x:c r="K249" s="33"/>
      <x:c r="L249" s="33"/>
      <x:c r="M249" s="33"/>
      <x:c r="N249" s="37"/>
      <x:c r="O249" s="33"/>
      <x:c r="P249" s="33"/>
      <x:c r="Q249" s="33"/>
      <x:c r="R249" s="37"/>
      <x:c r="S249" s="33"/>
      <x:c r="T249" s="33"/>
      <x:c r="U249" s="33"/>
      <x:c r="V249" s="38"/>
      <x:c r="W249" s="34"/>
      <x:c r="X249" s="34"/>
      <x:c r="Y249" s="34"/>
      <x:c r="Z249" s="34"/>
      <x:c r="AA249" s="34"/>
      <x:c r="AB249" s="34"/>
      <x:c r="AC249" s="34"/>
      <x:c r="AD249" s="34"/>
      <x:c r="AE249" s="34"/>
      <x:c r="AF249" s="34"/>
      <x:c r="AG249" s="34"/>
      <x:c r="AH249" s="35" t="str">
        <x:f>IF(COUNTA(X249:AA249)&lt;4,"",ROUND((X249*20)*45%+(((Y249-1)/4*100)*30%+((Z249-1)/4*100)*25%+(1-(AA249-1)/4)*100*25%+(1-(MAX(1,AC249:AE249)-1)/4)*100*20%)*55%,0))</x:f>
      </x:c>
      <x:c r="AI249" s="35" t="str">
        <x:f>IF(AH249="","",IF(AH249&gt;=85,"Excelente",IF(AH249&gt;=70,"Adequado",IF(AH249&gt;=50,"Atenção","Crítico"))))</x:f>
      </x:c>
    </x:row>
    <x:row r="250">
      <x:c r="A250" s="33"/>
      <x:c r="B250" s="33"/>
      <x:c r="C250" s="33"/>
      <x:c r="D250" s="33"/>
      <x:c r="E250" s="36"/>
      <x:c r="F250" s="36"/>
      <x:c r="G250" s="33"/>
      <x:c r="H250" s="33"/>
      <x:c r="I250" s="33"/>
      <x:c r="J250" s="33"/>
      <x:c r="K250" s="33"/>
      <x:c r="L250" s="33"/>
      <x:c r="M250" s="33"/>
      <x:c r="N250" s="37"/>
      <x:c r="O250" s="33"/>
      <x:c r="P250" s="33"/>
      <x:c r="Q250" s="33"/>
      <x:c r="R250" s="37"/>
      <x:c r="S250" s="33"/>
      <x:c r="T250" s="33"/>
      <x:c r="U250" s="33"/>
      <x:c r="V250" s="38"/>
      <x:c r="W250" s="34"/>
      <x:c r="X250" s="34"/>
      <x:c r="Y250" s="34"/>
      <x:c r="Z250" s="34"/>
      <x:c r="AA250" s="34"/>
      <x:c r="AB250" s="34"/>
      <x:c r="AC250" s="34"/>
      <x:c r="AD250" s="34"/>
      <x:c r="AE250" s="34"/>
      <x:c r="AF250" s="34"/>
      <x:c r="AG250" s="34"/>
      <x:c r="AH250" s="35" t="str">
        <x:f>IF(COUNTA(X250:AA250)&lt;4,"",ROUND((X250*20)*45%+(((Y250-1)/4*100)*30%+((Z250-1)/4*100)*25%+(1-(AA250-1)/4)*100*25%+(1-(MAX(1,AC250:AE250)-1)/4)*100*20%)*55%,0))</x:f>
      </x:c>
      <x:c r="AI250" s="35" t="str">
        <x:f>IF(AH250="","",IF(AH250&gt;=85,"Excelente",IF(AH250&gt;=70,"Adequado",IF(AH250&gt;=50,"Atenção","Crítico"))))</x:f>
      </x:c>
    </x:row>
    <x:row r="251">
      <x:c r="A251" s="33"/>
      <x:c r="B251" s="33"/>
      <x:c r="C251" s="33"/>
      <x:c r="D251" s="33"/>
      <x:c r="E251" s="36"/>
      <x:c r="F251" s="36"/>
      <x:c r="G251" s="33"/>
      <x:c r="H251" s="33"/>
      <x:c r="I251" s="33"/>
      <x:c r="J251" s="33"/>
      <x:c r="K251" s="33"/>
      <x:c r="L251" s="33"/>
      <x:c r="M251" s="33"/>
      <x:c r="N251" s="37"/>
      <x:c r="O251" s="33"/>
      <x:c r="P251" s="33"/>
      <x:c r="Q251" s="33"/>
      <x:c r="R251" s="37"/>
      <x:c r="S251" s="33"/>
      <x:c r="T251" s="33"/>
      <x:c r="U251" s="33"/>
      <x:c r="V251" s="38"/>
      <x:c r="W251" s="34"/>
      <x:c r="X251" s="34"/>
      <x:c r="Y251" s="34"/>
      <x:c r="Z251" s="34"/>
      <x:c r="AA251" s="34"/>
      <x:c r="AB251" s="34"/>
      <x:c r="AC251" s="34"/>
      <x:c r="AD251" s="34"/>
      <x:c r="AE251" s="34"/>
      <x:c r="AF251" s="34"/>
      <x:c r="AG251" s="34"/>
      <x:c r="AH251" s="35" t="str">
        <x:f>IF(COUNTA(X251:AA251)&lt;4,"",ROUND((X251*20)*45%+(((Y251-1)/4*100)*30%+((Z251-1)/4*100)*25%+(1-(AA251-1)/4)*100*25%+(1-(MAX(1,AC251:AE251)-1)/4)*100*20%)*55%,0))</x:f>
      </x:c>
      <x:c r="AI251" s="35" t="str">
        <x:f>IF(AH251="","",IF(AH251&gt;=85,"Excelente",IF(AH251&gt;=70,"Adequado",IF(AH251&gt;=50,"Atenção","Crítico"))))</x:f>
      </x:c>
    </x:row>
    <x:row r="252">
      <x:c r="A252" s="33"/>
      <x:c r="B252" s="33"/>
      <x:c r="C252" s="33"/>
      <x:c r="D252" s="33"/>
      <x:c r="E252" s="36"/>
      <x:c r="F252" s="36"/>
      <x:c r="G252" s="33"/>
      <x:c r="H252" s="33"/>
      <x:c r="I252" s="33"/>
      <x:c r="J252" s="33"/>
      <x:c r="K252" s="33"/>
      <x:c r="L252" s="33"/>
      <x:c r="M252" s="33"/>
      <x:c r="N252" s="37"/>
      <x:c r="O252" s="33"/>
      <x:c r="P252" s="33"/>
      <x:c r="Q252" s="33"/>
      <x:c r="R252" s="37"/>
      <x:c r="S252" s="33"/>
      <x:c r="T252" s="33"/>
      <x:c r="U252" s="33"/>
      <x:c r="V252" s="38"/>
      <x:c r="W252" s="34"/>
      <x:c r="X252" s="34"/>
      <x:c r="Y252" s="34"/>
      <x:c r="Z252" s="34"/>
      <x:c r="AA252" s="34"/>
      <x:c r="AB252" s="34"/>
      <x:c r="AC252" s="34"/>
      <x:c r="AD252" s="34"/>
      <x:c r="AE252" s="34"/>
      <x:c r="AF252" s="34"/>
      <x:c r="AG252" s="34"/>
      <x:c r="AH252" s="35" t="str">
        <x:f>IF(COUNTA(X252:AA252)&lt;4,"",ROUND((X252*20)*45%+(((Y252-1)/4*100)*30%+((Z252-1)/4*100)*25%+(1-(AA252-1)/4)*100*25%+(1-(MAX(1,AC252:AE252)-1)/4)*100*20%)*55%,0))</x:f>
      </x:c>
      <x:c r="AI252" s="35" t="str">
        <x:f>IF(AH252="","",IF(AH252&gt;=85,"Excelente",IF(AH252&gt;=70,"Adequado",IF(AH252&gt;=50,"Atenção","Crítico"))))</x:f>
      </x:c>
    </x:row>
    <x:row r="253">
      <x:c r="A253" s="33"/>
      <x:c r="B253" s="33"/>
      <x:c r="C253" s="33"/>
      <x:c r="D253" s="33"/>
      <x:c r="E253" s="36"/>
      <x:c r="F253" s="36"/>
      <x:c r="G253" s="33"/>
      <x:c r="H253" s="33"/>
      <x:c r="I253" s="33"/>
      <x:c r="J253" s="33"/>
      <x:c r="K253" s="33"/>
      <x:c r="L253" s="33"/>
      <x:c r="M253" s="33"/>
      <x:c r="N253" s="37"/>
      <x:c r="O253" s="33"/>
      <x:c r="P253" s="33"/>
      <x:c r="Q253" s="33"/>
      <x:c r="R253" s="37"/>
      <x:c r="S253" s="33"/>
      <x:c r="T253" s="33"/>
      <x:c r="U253" s="33"/>
      <x:c r="V253" s="38"/>
      <x:c r="W253" s="34"/>
      <x:c r="X253" s="34"/>
      <x:c r="Y253" s="34"/>
      <x:c r="Z253" s="34"/>
      <x:c r="AA253" s="34"/>
      <x:c r="AB253" s="34"/>
      <x:c r="AC253" s="34"/>
      <x:c r="AD253" s="34"/>
      <x:c r="AE253" s="34"/>
      <x:c r="AF253" s="34"/>
      <x:c r="AG253" s="34"/>
      <x:c r="AH253" s="35" t="str">
        <x:f>IF(COUNTA(X253:AA253)&lt;4,"",ROUND((X253*20)*45%+(((Y253-1)/4*100)*30%+((Z253-1)/4*100)*25%+(1-(AA253-1)/4)*100*25%+(1-(MAX(1,AC253:AE253)-1)/4)*100*20%)*55%,0))</x:f>
      </x:c>
      <x:c r="AI253" s="35" t="str">
        <x:f>IF(AH253="","",IF(AH253&gt;=85,"Excelente",IF(AH253&gt;=70,"Adequado",IF(AH253&gt;=50,"Atenção","Crítico"))))</x:f>
      </x:c>
    </x:row>
    <x:row r="254">
      <x:c r="A254" s="33"/>
      <x:c r="B254" s="33"/>
      <x:c r="C254" s="33"/>
      <x:c r="D254" s="33"/>
      <x:c r="E254" s="36"/>
      <x:c r="F254" s="36"/>
      <x:c r="G254" s="33"/>
      <x:c r="H254" s="33"/>
      <x:c r="I254" s="33"/>
      <x:c r="J254" s="33"/>
      <x:c r="K254" s="33"/>
      <x:c r="L254" s="33"/>
      <x:c r="M254" s="33"/>
      <x:c r="N254" s="37"/>
      <x:c r="O254" s="33"/>
      <x:c r="P254" s="33"/>
      <x:c r="Q254" s="33"/>
      <x:c r="R254" s="37"/>
      <x:c r="S254" s="33"/>
      <x:c r="T254" s="33"/>
      <x:c r="U254" s="33"/>
      <x:c r="V254" s="38"/>
      <x:c r="W254" s="34"/>
      <x:c r="X254" s="34"/>
      <x:c r="Y254" s="34"/>
      <x:c r="Z254" s="34"/>
      <x:c r="AA254" s="34"/>
      <x:c r="AB254" s="34"/>
      <x:c r="AC254" s="34"/>
      <x:c r="AD254" s="34"/>
      <x:c r="AE254" s="34"/>
      <x:c r="AF254" s="34"/>
      <x:c r="AG254" s="34"/>
      <x:c r="AH254" s="35" t="str">
        <x:f>IF(COUNTA(X254:AA254)&lt;4,"",ROUND((X254*20)*45%+(((Y254-1)/4*100)*30%+((Z254-1)/4*100)*25%+(1-(AA254-1)/4)*100*25%+(1-(MAX(1,AC254:AE254)-1)/4)*100*20%)*55%,0))</x:f>
      </x:c>
      <x:c r="AI254" s="35" t="str">
        <x:f>IF(AH254="","",IF(AH254&gt;=85,"Excelente",IF(AH254&gt;=70,"Adequado",IF(AH254&gt;=50,"Atenção","Crítico"))))</x:f>
      </x:c>
    </x:row>
    <x:row r="255">
      <x:c r="A255" s="33"/>
      <x:c r="B255" s="33"/>
      <x:c r="C255" s="33"/>
      <x:c r="D255" s="33"/>
      <x:c r="E255" s="36"/>
      <x:c r="F255" s="36"/>
      <x:c r="G255" s="33"/>
      <x:c r="H255" s="33"/>
      <x:c r="I255" s="33"/>
      <x:c r="J255" s="33"/>
      <x:c r="K255" s="33"/>
      <x:c r="L255" s="33"/>
      <x:c r="M255" s="33"/>
      <x:c r="N255" s="37"/>
      <x:c r="O255" s="33"/>
      <x:c r="P255" s="33"/>
      <x:c r="Q255" s="33"/>
      <x:c r="R255" s="37"/>
      <x:c r="S255" s="33"/>
      <x:c r="T255" s="33"/>
      <x:c r="U255" s="33"/>
      <x:c r="V255" s="38"/>
      <x:c r="W255" s="34"/>
      <x:c r="X255" s="34"/>
      <x:c r="Y255" s="34"/>
      <x:c r="Z255" s="34"/>
      <x:c r="AA255" s="34"/>
      <x:c r="AB255" s="34"/>
      <x:c r="AC255" s="34"/>
      <x:c r="AD255" s="34"/>
      <x:c r="AE255" s="34"/>
      <x:c r="AF255" s="34"/>
      <x:c r="AG255" s="34"/>
      <x:c r="AH255" s="35" t="str">
        <x:f>IF(COUNTA(X255:AA255)&lt;4,"",ROUND((X255*20)*45%+(((Y255-1)/4*100)*30%+((Z255-1)/4*100)*25%+(1-(AA255-1)/4)*100*25%+(1-(MAX(1,AC255:AE255)-1)/4)*100*20%)*55%,0))</x:f>
      </x:c>
      <x:c r="AI255" s="35" t="str">
        <x:f>IF(AH255="","",IF(AH255&gt;=85,"Excelente",IF(AH255&gt;=70,"Adequado",IF(AH255&gt;=50,"Atenção","Crítico"))))</x:f>
      </x:c>
    </x:row>
    <x:row r="256">
      <x:c r="A256" s="33"/>
      <x:c r="B256" s="33"/>
      <x:c r="C256" s="33"/>
      <x:c r="D256" s="33"/>
      <x:c r="E256" s="36"/>
      <x:c r="F256" s="36"/>
      <x:c r="G256" s="33"/>
      <x:c r="H256" s="33"/>
      <x:c r="I256" s="33"/>
      <x:c r="J256" s="33"/>
      <x:c r="K256" s="33"/>
      <x:c r="L256" s="33"/>
      <x:c r="M256" s="33"/>
      <x:c r="N256" s="37"/>
      <x:c r="O256" s="33"/>
      <x:c r="P256" s="33"/>
      <x:c r="Q256" s="33"/>
      <x:c r="R256" s="37"/>
      <x:c r="S256" s="33"/>
      <x:c r="T256" s="33"/>
      <x:c r="U256" s="33"/>
      <x:c r="V256" s="38"/>
      <x:c r="W256" s="34"/>
      <x:c r="X256" s="34"/>
      <x:c r="Y256" s="34"/>
      <x:c r="Z256" s="34"/>
      <x:c r="AA256" s="34"/>
      <x:c r="AB256" s="34"/>
      <x:c r="AC256" s="34"/>
      <x:c r="AD256" s="34"/>
      <x:c r="AE256" s="34"/>
      <x:c r="AF256" s="34"/>
      <x:c r="AG256" s="34"/>
      <x:c r="AH256" s="35" t="str">
        <x:f>IF(COUNTA(X256:AA256)&lt;4,"",ROUND((X256*20)*45%+(((Y256-1)/4*100)*30%+((Z256-1)/4*100)*25%+(1-(AA256-1)/4)*100*25%+(1-(MAX(1,AC256:AE256)-1)/4)*100*20%)*55%,0))</x:f>
      </x:c>
      <x:c r="AI256" s="35" t="str">
        <x:f>IF(AH256="","",IF(AH256&gt;=85,"Excelente",IF(AH256&gt;=70,"Adequado",IF(AH256&gt;=50,"Atenção","Crítico"))))</x:f>
      </x:c>
    </x:row>
    <x:row r="257">
      <x:c r="A257" s="33"/>
      <x:c r="B257" s="33"/>
      <x:c r="C257" s="33"/>
      <x:c r="D257" s="33"/>
      <x:c r="E257" s="36"/>
      <x:c r="F257" s="36"/>
      <x:c r="G257" s="33"/>
      <x:c r="H257" s="33"/>
      <x:c r="I257" s="33"/>
      <x:c r="J257" s="33"/>
      <x:c r="K257" s="33"/>
      <x:c r="L257" s="33"/>
      <x:c r="M257" s="33"/>
      <x:c r="N257" s="37"/>
      <x:c r="O257" s="33"/>
      <x:c r="P257" s="33"/>
      <x:c r="Q257" s="33"/>
      <x:c r="R257" s="37"/>
      <x:c r="S257" s="33"/>
      <x:c r="T257" s="33"/>
      <x:c r="U257" s="33"/>
      <x:c r="V257" s="38"/>
      <x:c r="W257" s="34"/>
      <x:c r="X257" s="34"/>
      <x:c r="Y257" s="34"/>
      <x:c r="Z257" s="34"/>
      <x:c r="AA257" s="34"/>
      <x:c r="AB257" s="34"/>
      <x:c r="AC257" s="34"/>
      <x:c r="AD257" s="34"/>
      <x:c r="AE257" s="34"/>
      <x:c r="AF257" s="34"/>
      <x:c r="AG257" s="34"/>
      <x:c r="AH257" s="35" t="str">
        <x:f>IF(COUNTA(X257:AA257)&lt;4,"",ROUND((X257*20)*45%+(((Y257-1)/4*100)*30%+((Z257-1)/4*100)*25%+(1-(AA257-1)/4)*100*25%+(1-(MAX(1,AC257:AE257)-1)/4)*100*20%)*55%,0))</x:f>
      </x:c>
      <x:c r="AI257" s="35" t="str">
        <x:f>IF(AH257="","",IF(AH257&gt;=85,"Excelente",IF(AH257&gt;=70,"Adequado",IF(AH257&gt;=50,"Atenção","Crítico"))))</x:f>
      </x:c>
    </x:row>
    <x:row r="258">
      <x:c r="A258" s="33"/>
      <x:c r="B258" s="33"/>
      <x:c r="C258" s="33"/>
      <x:c r="D258" s="33"/>
      <x:c r="E258" s="36"/>
      <x:c r="F258" s="36"/>
      <x:c r="G258" s="33"/>
      <x:c r="H258" s="33"/>
      <x:c r="I258" s="33"/>
      <x:c r="J258" s="33"/>
      <x:c r="K258" s="33"/>
      <x:c r="L258" s="33"/>
      <x:c r="M258" s="33"/>
      <x:c r="N258" s="37"/>
      <x:c r="O258" s="33"/>
      <x:c r="P258" s="33"/>
      <x:c r="Q258" s="33"/>
      <x:c r="R258" s="37"/>
      <x:c r="S258" s="33"/>
      <x:c r="T258" s="33"/>
      <x:c r="U258" s="33"/>
      <x:c r="V258" s="38"/>
      <x:c r="W258" s="34"/>
      <x:c r="X258" s="34"/>
      <x:c r="Y258" s="34"/>
      <x:c r="Z258" s="34"/>
      <x:c r="AA258" s="34"/>
      <x:c r="AB258" s="34"/>
      <x:c r="AC258" s="34"/>
      <x:c r="AD258" s="34"/>
      <x:c r="AE258" s="34"/>
      <x:c r="AF258" s="34"/>
      <x:c r="AG258" s="34"/>
      <x:c r="AH258" s="35" t="str">
        <x:f>IF(COUNTA(X258:AA258)&lt;4,"",ROUND((X258*20)*45%+(((Y258-1)/4*100)*30%+((Z258-1)/4*100)*25%+(1-(AA258-1)/4)*100*25%+(1-(MAX(1,AC258:AE258)-1)/4)*100*20%)*55%,0))</x:f>
      </x:c>
      <x:c r="AI258" s="35" t="str">
        <x:f>IF(AH258="","",IF(AH258&gt;=85,"Excelente",IF(AH258&gt;=70,"Adequado",IF(AH258&gt;=50,"Atenção","Crítico"))))</x:f>
      </x:c>
    </x:row>
    <x:row r="259">
      <x:c r="A259" s="33"/>
      <x:c r="B259" s="33"/>
      <x:c r="C259" s="33"/>
      <x:c r="D259" s="33"/>
      <x:c r="E259" s="36"/>
      <x:c r="F259" s="36"/>
      <x:c r="G259" s="33"/>
      <x:c r="H259" s="33"/>
      <x:c r="I259" s="33"/>
      <x:c r="J259" s="33"/>
      <x:c r="K259" s="33"/>
      <x:c r="L259" s="33"/>
      <x:c r="M259" s="33"/>
      <x:c r="N259" s="37"/>
      <x:c r="O259" s="33"/>
      <x:c r="P259" s="33"/>
      <x:c r="Q259" s="33"/>
      <x:c r="R259" s="37"/>
      <x:c r="S259" s="33"/>
      <x:c r="T259" s="33"/>
      <x:c r="U259" s="33"/>
      <x:c r="V259" s="38"/>
      <x:c r="W259" s="34"/>
      <x:c r="X259" s="34"/>
      <x:c r="Y259" s="34"/>
      <x:c r="Z259" s="34"/>
      <x:c r="AA259" s="34"/>
      <x:c r="AB259" s="34"/>
      <x:c r="AC259" s="34"/>
      <x:c r="AD259" s="34"/>
      <x:c r="AE259" s="34"/>
      <x:c r="AF259" s="34"/>
      <x:c r="AG259" s="34"/>
      <x:c r="AH259" s="35" t="str">
        <x:f>IF(COUNTA(X259:AA259)&lt;4,"",ROUND((X259*20)*45%+(((Y259-1)/4*100)*30%+((Z259-1)/4*100)*25%+(1-(AA259-1)/4)*100*25%+(1-(MAX(1,AC259:AE259)-1)/4)*100*20%)*55%,0))</x:f>
      </x:c>
      <x:c r="AI259" s="35" t="str">
        <x:f>IF(AH259="","",IF(AH259&gt;=85,"Excelente",IF(AH259&gt;=70,"Adequado",IF(AH259&gt;=50,"Atenção","Crítico"))))</x:f>
      </x:c>
    </x:row>
    <x:row r="260">
      <x:c r="A260" s="33"/>
      <x:c r="B260" s="33"/>
      <x:c r="C260" s="33"/>
      <x:c r="D260" s="33"/>
      <x:c r="E260" s="36"/>
      <x:c r="F260" s="36"/>
      <x:c r="G260" s="33"/>
      <x:c r="H260" s="33"/>
      <x:c r="I260" s="33"/>
      <x:c r="J260" s="33"/>
      <x:c r="K260" s="33"/>
      <x:c r="L260" s="33"/>
      <x:c r="M260" s="33"/>
      <x:c r="N260" s="37"/>
      <x:c r="O260" s="33"/>
      <x:c r="P260" s="33"/>
      <x:c r="Q260" s="33"/>
      <x:c r="R260" s="37"/>
      <x:c r="S260" s="33"/>
      <x:c r="T260" s="33"/>
      <x:c r="U260" s="33"/>
      <x:c r="V260" s="38"/>
      <x:c r="W260" s="34"/>
      <x:c r="X260" s="34"/>
      <x:c r="Y260" s="34"/>
      <x:c r="Z260" s="34"/>
      <x:c r="AA260" s="34"/>
      <x:c r="AB260" s="34"/>
      <x:c r="AC260" s="34"/>
      <x:c r="AD260" s="34"/>
      <x:c r="AE260" s="34"/>
      <x:c r="AF260" s="34"/>
      <x:c r="AG260" s="34"/>
      <x:c r="AH260" s="35" t="str">
        <x:f>IF(COUNTA(X260:AA260)&lt;4,"",ROUND((X260*20)*45%+(((Y260-1)/4*100)*30%+((Z260-1)/4*100)*25%+(1-(AA260-1)/4)*100*25%+(1-(MAX(1,AC260:AE260)-1)/4)*100*20%)*55%,0))</x:f>
      </x:c>
      <x:c r="AI260" s="35" t="str">
        <x:f>IF(AH260="","",IF(AH260&gt;=85,"Excelente",IF(AH260&gt;=70,"Adequado",IF(AH260&gt;=50,"Atenção","Crítico"))))</x:f>
      </x:c>
    </x:row>
    <x:row r="261">
      <x:c r="A261" s="33"/>
      <x:c r="B261" s="33"/>
      <x:c r="C261" s="33"/>
      <x:c r="D261" s="33"/>
      <x:c r="E261" s="36"/>
      <x:c r="F261" s="36"/>
      <x:c r="G261" s="33"/>
      <x:c r="H261" s="33"/>
      <x:c r="I261" s="33"/>
      <x:c r="J261" s="33"/>
      <x:c r="K261" s="33"/>
      <x:c r="L261" s="33"/>
      <x:c r="M261" s="33"/>
      <x:c r="N261" s="37"/>
      <x:c r="O261" s="33"/>
      <x:c r="P261" s="33"/>
      <x:c r="Q261" s="33"/>
      <x:c r="R261" s="37"/>
      <x:c r="S261" s="33"/>
      <x:c r="T261" s="33"/>
      <x:c r="U261" s="33"/>
      <x:c r="V261" s="38"/>
      <x:c r="W261" s="34"/>
      <x:c r="X261" s="34"/>
      <x:c r="Y261" s="34"/>
      <x:c r="Z261" s="34"/>
      <x:c r="AA261" s="34"/>
      <x:c r="AB261" s="34"/>
      <x:c r="AC261" s="34"/>
      <x:c r="AD261" s="34"/>
      <x:c r="AE261" s="34"/>
      <x:c r="AF261" s="34"/>
      <x:c r="AG261" s="34"/>
      <x:c r="AH261" s="35" t="str">
        <x:f>IF(COUNTA(X261:AA261)&lt;4,"",ROUND((X261*20)*45%+(((Y261-1)/4*100)*30%+((Z261-1)/4*100)*25%+(1-(AA261-1)/4)*100*25%+(1-(MAX(1,AC261:AE261)-1)/4)*100*20%)*55%,0))</x:f>
      </x:c>
      <x:c r="AI261" s="35" t="str">
        <x:f>IF(AH261="","",IF(AH261&gt;=85,"Excelente",IF(AH261&gt;=70,"Adequado",IF(AH261&gt;=50,"Atenção","Crítico"))))</x:f>
      </x:c>
    </x:row>
    <x:row r="262">
      <x:c r="A262" s="33"/>
      <x:c r="B262" s="33"/>
      <x:c r="C262" s="33"/>
      <x:c r="D262" s="33"/>
      <x:c r="E262" s="36"/>
      <x:c r="F262" s="36"/>
      <x:c r="G262" s="33"/>
      <x:c r="H262" s="33"/>
      <x:c r="I262" s="33"/>
      <x:c r="J262" s="33"/>
      <x:c r="K262" s="33"/>
      <x:c r="L262" s="33"/>
      <x:c r="M262" s="33"/>
      <x:c r="N262" s="37"/>
      <x:c r="O262" s="33"/>
      <x:c r="P262" s="33"/>
      <x:c r="Q262" s="33"/>
      <x:c r="R262" s="37"/>
      <x:c r="S262" s="33"/>
      <x:c r="T262" s="33"/>
      <x:c r="U262" s="33"/>
      <x:c r="V262" s="38"/>
      <x:c r="W262" s="34"/>
      <x:c r="X262" s="34"/>
      <x:c r="Y262" s="34"/>
      <x:c r="Z262" s="34"/>
      <x:c r="AA262" s="34"/>
      <x:c r="AB262" s="34"/>
      <x:c r="AC262" s="34"/>
      <x:c r="AD262" s="34"/>
      <x:c r="AE262" s="34"/>
      <x:c r="AF262" s="34"/>
      <x:c r="AG262" s="34"/>
      <x:c r="AH262" s="35" t="str">
        <x:f>IF(COUNTA(X262:AA262)&lt;4,"",ROUND((X262*20)*45%+(((Y262-1)/4*100)*30%+((Z262-1)/4*100)*25%+(1-(AA262-1)/4)*100*25%+(1-(MAX(1,AC262:AE262)-1)/4)*100*20%)*55%,0))</x:f>
      </x:c>
      <x:c r="AI262" s="35" t="str">
        <x:f>IF(AH262="","",IF(AH262&gt;=85,"Excelente",IF(AH262&gt;=70,"Adequado",IF(AH262&gt;=50,"Atenção","Crítico"))))</x:f>
      </x:c>
    </x:row>
    <x:row r="263">
      <x:c r="A263" s="33"/>
      <x:c r="B263" s="33"/>
      <x:c r="C263" s="33"/>
      <x:c r="D263" s="33"/>
      <x:c r="E263" s="36"/>
      <x:c r="F263" s="36"/>
      <x:c r="G263" s="33"/>
      <x:c r="H263" s="33"/>
      <x:c r="I263" s="33"/>
      <x:c r="J263" s="33"/>
      <x:c r="K263" s="33"/>
      <x:c r="L263" s="33"/>
      <x:c r="M263" s="33"/>
      <x:c r="N263" s="37"/>
      <x:c r="O263" s="33"/>
      <x:c r="P263" s="33"/>
      <x:c r="Q263" s="33"/>
      <x:c r="R263" s="37"/>
      <x:c r="S263" s="33"/>
      <x:c r="T263" s="33"/>
      <x:c r="U263" s="33"/>
      <x:c r="V263" s="38"/>
      <x:c r="W263" s="34"/>
      <x:c r="X263" s="34"/>
      <x:c r="Y263" s="34"/>
      <x:c r="Z263" s="34"/>
      <x:c r="AA263" s="34"/>
      <x:c r="AB263" s="34"/>
      <x:c r="AC263" s="34"/>
      <x:c r="AD263" s="34"/>
      <x:c r="AE263" s="34"/>
      <x:c r="AF263" s="34"/>
      <x:c r="AG263" s="34"/>
      <x:c r="AH263" s="35" t="str">
        <x:f>IF(COUNTA(X263:AA263)&lt;4,"",ROUND((X263*20)*45%+(((Y263-1)/4*100)*30%+((Z263-1)/4*100)*25%+(1-(AA263-1)/4)*100*25%+(1-(MAX(1,AC263:AE263)-1)/4)*100*20%)*55%,0))</x:f>
      </x:c>
      <x:c r="AI263" s="35" t="str">
        <x:f>IF(AH263="","",IF(AH263&gt;=85,"Excelente",IF(AH263&gt;=70,"Adequado",IF(AH263&gt;=50,"Atenção","Crítico"))))</x:f>
      </x:c>
    </x:row>
    <x:row r="264">
      <x:c r="A264" s="33"/>
      <x:c r="B264" s="33"/>
      <x:c r="C264" s="33"/>
      <x:c r="D264" s="33"/>
      <x:c r="E264" s="36"/>
      <x:c r="F264" s="36"/>
      <x:c r="G264" s="33"/>
      <x:c r="H264" s="33"/>
      <x:c r="I264" s="33"/>
      <x:c r="J264" s="33"/>
      <x:c r="K264" s="33"/>
      <x:c r="L264" s="33"/>
      <x:c r="M264" s="33"/>
      <x:c r="N264" s="37"/>
      <x:c r="O264" s="33"/>
      <x:c r="P264" s="33"/>
      <x:c r="Q264" s="33"/>
      <x:c r="R264" s="37"/>
      <x:c r="S264" s="33"/>
      <x:c r="T264" s="33"/>
      <x:c r="U264" s="33"/>
      <x:c r="V264" s="38"/>
      <x:c r="W264" s="34"/>
      <x:c r="X264" s="34"/>
      <x:c r="Y264" s="34"/>
      <x:c r="Z264" s="34"/>
      <x:c r="AA264" s="34"/>
      <x:c r="AB264" s="34"/>
      <x:c r="AC264" s="34"/>
      <x:c r="AD264" s="34"/>
      <x:c r="AE264" s="34"/>
      <x:c r="AF264" s="34"/>
      <x:c r="AG264" s="34"/>
      <x:c r="AH264" s="35" t="str">
        <x:f>IF(COUNTA(X264:AA264)&lt;4,"",ROUND((X264*20)*45%+(((Y264-1)/4*100)*30%+((Z264-1)/4*100)*25%+(1-(AA264-1)/4)*100*25%+(1-(MAX(1,AC264:AE264)-1)/4)*100*20%)*55%,0))</x:f>
      </x:c>
      <x:c r="AI264" s="35" t="str">
        <x:f>IF(AH264="","",IF(AH264&gt;=85,"Excelente",IF(AH264&gt;=70,"Adequado",IF(AH264&gt;=50,"Atenção","Crítico"))))</x:f>
      </x:c>
    </x:row>
    <x:row r="265">
      <x:c r="A265" s="33"/>
      <x:c r="B265" s="33"/>
      <x:c r="C265" s="33"/>
      <x:c r="D265" s="33"/>
      <x:c r="E265" s="36"/>
      <x:c r="F265" s="36"/>
      <x:c r="G265" s="33"/>
      <x:c r="H265" s="33"/>
      <x:c r="I265" s="33"/>
      <x:c r="J265" s="33"/>
      <x:c r="K265" s="33"/>
      <x:c r="L265" s="33"/>
      <x:c r="M265" s="33"/>
      <x:c r="N265" s="37"/>
      <x:c r="O265" s="33"/>
      <x:c r="P265" s="33"/>
      <x:c r="Q265" s="33"/>
      <x:c r="R265" s="37"/>
      <x:c r="S265" s="33"/>
      <x:c r="T265" s="33"/>
      <x:c r="U265" s="33"/>
      <x:c r="V265" s="38"/>
      <x:c r="W265" s="34"/>
      <x:c r="X265" s="34"/>
      <x:c r="Y265" s="34"/>
      <x:c r="Z265" s="34"/>
      <x:c r="AA265" s="34"/>
      <x:c r="AB265" s="34"/>
      <x:c r="AC265" s="34"/>
      <x:c r="AD265" s="34"/>
      <x:c r="AE265" s="34"/>
      <x:c r="AF265" s="34"/>
      <x:c r="AG265" s="34"/>
      <x:c r="AH265" s="35" t="str">
        <x:f>IF(COUNTA(X265:AA265)&lt;4,"",ROUND((X265*20)*45%+(((Y265-1)/4*100)*30%+((Z265-1)/4*100)*25%+(1-(AA265-1)/4)*100*25%+(1-(MAX(1,AC265:AE265)-1)/4)*100*20%)*55%,0))</x:f>
      </x:c>
      <x:c r="AI265" s="35" t="str">
        <x:f>IF(AH265="","",IF(AH265&gt;=85,"Excelente",IF(AH265&gt;=70,"Adequado",IF(AH265&gt;=50,"Atenção","Crítico"))))</x:f>
      </x:c>
    </x:row>
    <x:row r="266">
      <x:c r="A266" s="33"/>
      <x:c r="B266" s="33"/>
      <x:c r="C266" s="33"/>
      <x:c r="D266" s="33"/>
      <x:c r="E266" s="36"/>
      <x:c r="F266" s="36"/>
      <x:c r="G266" s="33"/>
      <x:c r="H266" s="33"/>
      <x:c r="I266" s="33"/>
      <x:c r="J266" s="33"/>
      <x:c r="K266" s="33"/>
      <x:c r="L266" s="33"/>
      <x:c r="M266" s="33"/>
      <x:c r="N266" s="37"/>
      <x:c r="O266" s="33"/>
      <x:c r="P266" s="33"/>
      <x:c r="Q266" s="33"/>
      <x:c r="R266" s="37"/>
      <x:c r="S266" s="33"/>
      <x:c r="T266" s="33"/>
      <x:c r="U266" s="33"/>
      <x:c r="V266" s="38"/>
      <x:c r="W266" s="34"/>
      <x:c r="X266" s="34"/>
      <x:c r="Y266" s="34"/>
      <x:c r="Z266" s="34"/>
      <x:c r="AA266" s="34"/>
      <x:c r="AB266" s="34"/>
      <x:c r="AC266" s="34"/>
      <x:c r="AD266" s="34"/>
      <x:c r="AE266" s="34"/>
      <x:c r="AF266" s="34"/>
      <x:c r="AG266" s="34"/>
      <x:c r="AH266" s="35" t="str">
        <x:f>IF(COUNTA(X266:AA266)&lt;4,"",ROUND((X266*20)*45%+(((Y266-1)/4*100)*30%+((Z266-1)/4*100)*25%+(1-(AA266-1)/4)*100*25%+(1-(MAX(1,AC266:AE266)-1)/4)*100*20%)*55%,0))</x:f>
      </x:c>
      <x:c r="AI266" s="35" t="str">
        <x:f>IF(AH266="","",IF(AH266&gt;=85,"Excelente",IF(AH266&gt;=70,"Adequado",IF(AH266&gt;=50,"Atenção","Crítico"))))</x:f>
      </x:c>
    </x:row>
    <x:row r="267">
      <x:c r="A267" s="33"/>
      <x:c r="B267" s="33"/>
      <x:c r="C267" s="33"/>
      <x:c r="D267" s="33"/>
      <x:c r="E267" s="36"/>
      <x:c r="F267" s="36"/>
      <x:c r="G267" s="33"/>
      <x:c r="H267" s="33"/>
      <x:c r="I267" s="33"/>
      <x:c r="J267" s="33"/>
      <x:c r="K267" s="33"/>
      <x:c r="L267" s="33"/>
      <x:c r="M267" s="33"/>
      <x:c r="N267" s="37"/>
      <x:c r="O267" s="33"/>
      <x:c r="P267" s="33"/>
      <x:c r="Q267" s="33"/>
      <x:c r="R267" s="37"/>
      <x:c r="S267" s="33"/>
      <x:c r="T267" s="33"/>
      <x:c r="U267" s="33"/>
      <x:c r="V267" s="38"/>
      <x:c r="W267" s="34"/>
      <x:c r="X267" s="34"/>
      <x:c r="Y267" s="34"/>
      <x:c r="Z267" s="34"/>
      <x:c r="AA267" s="34"/>
      <x:c r="AB267" s="34"/>
      <x:c r="AC267" s="34"/>
      <x:c r="AD267" s="34"/>
      <x:c r="AE267" s="34"/>
      <x:c r="AF267" s="34"/>
      <x:c r="AG267" s="34"/>
      <x:c r="AH267" s="35" t="str">
        <x:f>IF(COUNTA(X267:AA267)&lt;4,"",ROUND((X267*20)*45%+(((Y267-1)/4*100)*30%+((Z267-1)/4*100)*25%+(1-(AA267-1)/4)*100*25%+(1-(MAX(1,AC267:AE267)-1)/4)*100*20%)*55%,0))</x:f>
      </x:c>
      <x:c r="AI267" s="35" t="str">
        <x:f>IF(AH267="","",IF(AH267&gt;=85,"Excelente",IF(AH267&gt;=70,"Adequado",IF(AH267&gt;=50,"Atenção","Crítico"))))</x:f>
      </x:c>
    </x:row>
    <x:row r="268">
      <x:c r="A268" s="33"/>
      <x:c r="B268" s="33"/>
      <x:c r="C268" s="33"/>
      <x:c r="D268" s="33"/>
      <x:c r="E268" s="36"/>
      <x:c r="F268" s="36"/>
      <x:c r="G268" s="33"/>
      <x:c r="H268" s="33"/>
      <x:c r="I268" s="33"/>
      <x:c r="J268" s="33"/>
      <x:c r="K268" s="33"/>
      <x:c r="L268" s="33"/>
      <x:c r="M268" s="33"/>
      <x:c r="N268" s="37"/>
      <x:c r="O268" s="33"/>
      <x:c r="P268" s="33"/>
      <x:c r="Q268" s="33"/>
      <x:c r="R268" s="37"/>
      <x:c r="S268" s="33"/>
      <x:c r="T268" s="33"/>
      <x:c r="U268" s="33"/>
      <x:c r="V268" s="38"/>
      <x:c r="W268" s="34"/>
      <x:c r="X268" s="34"/>
      <x:c r="Y268" s="34"/>
      <x:c r="Z268" s="34"/>
      <x:c r="AA268" s="34"/>
      <x:c r="AB268" s="34"/>
      <x:c r="AC268" s="34"/>
      <x:c r="AD268" s="34"/>
      <x:c r="AE268" s="34"/>
      <x:c r="AF268" s="34"/>
      <x:c r="AG268" s="34"/>
      <x:c r="AH268" s="35" t="str">
        <x:f>IF(COUNTA(X268:AA268)&lt;4,"",ROUND((X268*20)*45%+(((Y268-1)/4*100)*30%+((Z268-1)/4*100)*25%+(1-(AA268-1)/4)*100*25%+(1-(MAX(1,AC268:AE268)-1)/4)*100*20%)*55%,0))</x:f>
      </x:c>
      <x:c r="AI268" s="35" t="str">
        <x:f>IF(AH268="","",IF(AH268&gt;=85,"Excelente",IF(AH268&gt;=70,"Adequado",IF(AH268&gt;=50,"Atenção","Crítico"))))</x:f>
      </x:c>
    </x:row>
    <x:row r="269">
      <x:c r="A269" s="33"/>
      <x:c r="B269" s="33"/>
      <x:c r="C269" s="33"/>
      <x:c r="D269" s="33"/>
      <x:c r="E269" s="36"/>
      <x:c r="F269" s="36"/>
      <x:c r="G269" s="33"/>
      <x:c r="H269" s="33"/>
      <x:c r="I269" s="33"/>
      <x:c r="J269" s="33"/>
      <x:c r="K269" s="33"/>
      <x:c r="L269" s="33"/>
      <x:c r="M269" s="33"/>
      <x:c r="N269" s="37"/>
      <x:c r="O269" s="33"/>
      <x:c r="P269" s="33"/>
      <x:c r="Q269" s="33"/>
      <x:c r="R269" s="37"/>
      <x:c r="S269" s="33"/>
      <x:c r="T269" s="33"/>
      <x:c r="U269" s="33"/>
      <x:c r="V269" s="38"/>
      <x:c r="W269" s="34"/>
      <x:c r="X269" s="34"/>
      <x:c r="Y269" s="34"/>
      <x:c r="Z269" s="34"/>
      <x:c r="AA269" s="34"/>
      <x:c r="AB269" s="34"/>
      <x:c r="AC269" s="34"/>
      <x:c r="AD269" s="34"/>
      <x:c r="AE269" s="34"/>
      <x:c r="AF269" s="34"/>
      <x:c r="AG269" s="34"/>
      <x:c r="AH269" s="35" t="str">
        <x:f>IF(COUNTA(X269:AA269)&lt;4,"",ROUND((X269*20)*45%+(((Y269-1)/4*100)*30%+((Z269-1)/4*100)*25%+(1-(AA269-1)/4)*100*25%+(1-(MAX(1,AC269:AE269)-1)/4)*100*20%)*55%,0))</x:f>
      </x:c>
      <x:c r="AI269" s="35" t="str">
        <x:f>IF(AH269="","",IF(AH269&gt;=85,"Excelente",IF(AH269&gt;=70,"Adequado",IF(AH269&gt;=50,"Atenção","Crítico"))))</x:f>
      </x:c>
    </x:row>
    <x:row r="270">
      <x:c r="A270" s="33"/>
      <x:c r="B270" s="33"/>
      <x:c r="C270" s="33"/>
      <x:c r="D270" s="33"/>
      <x:c r="E270" s="36"/>
      <x:c r="F270" s="36"/>
      <x:c r="G270" s="33"/>
      <x:c r="H270" s="33"/>
      <x:c r="I270" s="33"/>
      <x:c r="J270" s="33"/>
      <x:c r="K270" s="33"/>
      <x:c r="L270" s="33"/>
      <x:c r="M270" s="33"/>
      <x:c r="N270" s="37"/>
      <x:c r="O270" s="33"/>
      <x:c r="P270" s="33"/>
      <x:c r="Q270" s="33"/>
      <x:c r="R270" s="37"/>
      <x:c r="S270" s="33"/>
      <x:c r="T270" s="33"/>
      <x:c r="U270" s="33"/>
      <x:c r="V270" s="38"/>
      <x:c r="W270" s="34"/>
      <x:c r="X270" s="34"/>
      <x:c r="Y270" s="34"/>
      <x:c r="Z270" s="34"/>
      <x:c r="AA270" s="34"/>
      <x:c r="AB270" s="34"/>
      <x:c r="AC270" s="34"/>
      <x:c r="AD270" s="34"/>
      <x:c r="AE270" s="34"/>
      <x:c r="AF270" s="34"/>
      <x:c r="AG270" s="34"/>
      <x:c r="AH270" s="35" t="str">
        <x:f>IF(COUNTA(X270:AA270)&lt;4,"",ROUND((X270*20)*45%+(((Y270-1)/4*100)*30%+((Z270-1)/4*100)*25%+(1-(AA270-1)/4)*100*25%+(1-(MAX(1,AC270:AE270)-1)/4)*100*20%)*55%,0))</x:f>
      </x:c>
      <x:c r="AI270" s="35" t="str">
        <x:f>IF(AH270="","",IF(AH270&gt;=85,"Excelente",IF(AH270&gt;=70,"Adequado",IF(AH270&gt;=50,"Atenção","Crítico"))))</x:f>
      </x:c>
    </x:row>
    <x:row r="271">
      <x:c r="A271" s="33"/>
      <x:c r="B271" s="33"/>
      <x:c r="C271" s="33"/>
      <x:c r="D271" s="33"/>
      <x:c r="E271" s="36"/>
      <x:c r="F271" s="36"/>
      <x:c r="G271" s="33"/>
      <x:c r="H271" s="33"/>
      <x:c r="I271" s="33"/>
      <x:c r="J271" s="33"/>
      <x:c r="K271" s="33"/>
      <x:c r="L271" s="33"/>
      <x:c r="M271" s="33"/>
      <x:c r="N271" s="37"/>
      <x:c r="O271" s="33"/>
      <x:c r="P271" s="33"/>
      <x:c r="Q271" s="33"/>
      <x:c r="R271" s="37"/>
      <x:c r="S271" s="33"/>
      <x:c r="T271" s="33"/>
      <x:c r="U271" s="33"/>
      <x:c r="V271" s="38"/>
      <x:c r="W271" s="34"/>
      <x:c r="X271" s="34"/>
      <x:c r="Y271" s="34"/>
      <x:c r="Z271" s="34"/>
      <x:c r="AA271" s="34"/>
      <x:c r="AB271" s="34"/>
      <x:c r="AC271" s="34"/>
      <x:c r="AD271" s="34"/>
      <x:c r="AE271" s="34"/>
      <x:c r="AF271" s="34"/>
      <x:c r="AG271" s="34"/>
      <x:c r="AH271" s="35" t="str">
        <x:f>IF(COUNTA(X271:AA271)&lt;4,"",ROUND((X271*20)*45%+(((Y271-1)/4*100)*30%+((Z271-1)/4*100)*25%+(1-(AA271-1)/4)*100*25%+(1-(MAX(1,AC271:AE271)-1)/4)*100*20%)*55%,0))</x:f>
      </x:c>
      <x:c r="AI271" s="35" t="str">
        <x:f>IF(AH271="","",IF(AH271&gt;=85,"Excelente",IF(AH271&gt;=70,"Adequado",IF(AH271&gt;=50,"Atenção","Crítico"))))</x:f>
      </x:c>
    </x:row>
    <x:row r="272">
      <x:c r="A272" s="33"/>
      <x:c r="B272" s="33"/>
      <x:c r="C272" s="33"/>
      <x:c r="D272" s="33"/>
      <x:c r="E272" s="36"/>
      <x:c r="F272" s="36"/>
      <x:c r="G272" s="33"/>
      <x:c r="H272" s="33"/>
      <x:c r="I272" s="33"/>
      <x:c r="J272" s="33"/>
      <x:c r="K272" s="33"/>
      <x:c r="L272" s="33"/>
      <x:c r="M272" s="33"/>
      <x:c r="N272" s="37"/>
      <x:c r="O272" s="33"/>
      <x:c r="P272" s="33"/>
      <x:c r="Q272" s="33"/>
      <x:c r="R272" s="37"/>
      <x:c r="S272" s="33"/>
      <x:c r="T272" s="33"/>
      <x:c r="U272" s="33"/>
      <x:c r="V272" s="38"/>
      <x:c r="W272" s="34"/>
      <x:c r="X272" s="34"/>
      <x:c r="Y272" s="34"/>
      <x:c r="Z272" s="34"/>
      <x:c r="AA272" s="34"/>
      <x:c r="AB272" s="34"/>
      <x:c r="AC272" s="34"/>
      <x:c r="AD272" s="34"/>
      <x:c r="AE272" s="34"/>
      <x:c r="AF272" s="34"/>
      <x:c r="AG272" s="34"/>
      <x:c r="AH272" s="35" t="str">
        <x:f>IF(COUNTA(X272:AA272)&lt;4,"",ROUND((X272*20)*45%+(((Y272-1)/4*100)*30%+((Z272-1)/4*100)*25%+(1-(AA272-1)/4)*100*25%+(1-(MAX(1,AC272:AE272)-1)/4)*100*20%)*55%,0))</x:f>
      </x:c>
      <x:c r="AI272" s="35" t="str">
        <x:f>IF(AH272="","",IF(AH272&gt;=85,"Excelente",IF(AH272&gt;=70,"Adequado",IF(AH272&gt;=50,"Atenção","Crítico"))))</x:f>
      </x:c>
    </x:row>
    <x:row r="273">
      <x:c r="A273" s="33"/>
      <x:c r="B273" s="33"/>
      <x:c r="C273" s="33"/>
      <x:c r="D273" s="33"/>
      <x:c r="E273" s="36"/>
      <x:c r="F273" s="36"/>
      <x:c r="G273" s="33"/>
      <x:c r="H273" s="33"/>
      <x:c r="I273" s="33"/>
      <x:c r="J273" s="33"/>
      <x:c r="K273" s="33"/>
      <x:c r="L273" s="33"/>
      <x:c r="M273" s="33"/>
      <x:c r="N273" s="37"/>
      <x:c r="O273" s="33"/>
      <x:c r="P273" s="33"/>
      <x:c r="Q273" s="33"/>
      <x:c r="R273" s="37"/>
      <x:c r="S273" s="33"/>
      <x:c r="T273" s="33"/>
      <x:c r="U273" s="33"/>
      <x:c r="V273" s="38"/>
      <x:c r="W273" s="34"/>
      <x:c r="X273" s="34"/>
      <x:c r="Y273" s="34"/>
      <x:c r="Z273" s="34"/>
      <x:c r="AA273" s="34"/>
      <x:c r="AB273" s="34"/>
      <x:c r="AC273" s="34"/>
      <x:c r="AD273" s="34"/>
      <x:c r="AE273" s="34"/>
      <x:c r="AF273" s="34"/>
      <x:c r="AG273" s="34"/>
      <x:c r="AH273" s="35" t="str">
        <x:f>IF(COUNTA(X273:AA273)&lt;4,"",ROUND((X273*20)*45%+(((Y273-1)/4*100)*30%+((Z273-1)/4*100)*25%+(1-(AA273-1)/4)*100*25%+(1-(MAX(1,AC273:AE273)-1)/4)*100*20%)*55%,0))</x:f>
      </x:c>
      <x:c r="AI273" s="35" t="str">
        <x:f>IF(AH273="","",IF(AH273&gt;=85,"Excelente",IF(AH273&gt;=70,"Adequado",IF(AH273&gt;=50,"Atenção","Crítico"))))</x:f>
      </x:c>
    </x:row>
    <x:row r="274">
      <x:c r="A274" s="33"/>
      <x:c r="B274" s="33"/>
      <x:c r="C274" s="33"/>
      <x:c r="D274" s="33"/>
      <x:c r="E274" s="36"/>
      <x:c r="F274" s="36"/>
      <x:c r="G274" s="33"/>
      <x:c r="H274" s="33"/>
      <x:c r="I274" s="33"/>
      <x:c r="J274" s="33"/>
      <x:c r="K274" s="33"/>
      <x:c r="L274" s="33"/>
      <x:c r="M274" s="33"/>
      <x:c r="N274" s="37"/>
      <x:c r="O274" s="33"/>
      <x:c r="P274" s="33"/>
      <x:c r="Q274" s="33"/>
      <x:c r="R274" s="37"/>
      <x:c r="S274" s="33"/>
      <x:c r="T274" s="33"/>
      <x:c r="U274" s="33"/>
      <x:c r="V274" s="38"/>
      <x:c r="W274" s="34"/>
      <x:c r="X274" s="34"/>
      <x:c r="Y274" s="34"/>
      <x:c r="Z274" s="34"/>
      <x:c r="AA274" s="34"/>
      <x:c r="AB274" s="34"/>
      <x:c r="AC274" s="34"/>
      <x:c r="AD274" s="34"/>
      <x:c r="AE274" s="34"/>
      <x:c r="AF274" s="34"/>
      <x:c r="AG274" s="34"/>
      <x:c r="AH274" s="35" t="str">
        <x:f>IF(COUNTA(X274:AA274)&lt;4,"",ROUND((X274*20)*45%+(((Y274-1)/4*100)*30%+((Z274-1)/4*100)*25%+(1-(AA274-1)/4)*100*25%+(1-(MAX(1,AC274:AE274)-1)/4)*100*20%)*55%,0))</x:f>
      </x:c>
      <x:c r="AI274" s="35" t="str">
        <x:f>IF(AH274="","",IF(AH274&gt;=85,"Excelente",IF(AH274&gt;=70,"Adequado",IF(AH274&gt;=50,"Atenção","Crítico"))))</x:f>
      </x:c>
    </x:row>
    <x:row r="275">
      <x:c r="A275" s="33"/>
      <x:c r="B275" s="33"/>
      <x:c r="C275" s="33"/>
      <x:c r="D275" s="33"/>
      <x:c r="E275" s="36"/>
      <x:c r="F275" s="36"/>
      <x:c r="G275" s="33"/>
      <x:c r="H275" s="33"/>
      <x:c r="I275" s="33"/>
      <x:c r="J275" s="33"/>
      <x:c r="K275" s="33"/>
      <x:c r="L275" s="33"/>
      <x:c r="M275" s="33"/>
      <x:c r="N275" s="37"/>
      <x:c r="O275" s="33"/>
      <x:c r="P275" s="33"/>
      <x:c r="Q275" s="33"/>
      <x:c r="R275" s="37"/>
      <x:c r="S275" s="33"/>
      <x:c r="T275" s="33"/>
      <x:c r="U275" s="33"/>
      <x:c r="V275" s="38"/>
      <x:c r="W275" s="34"/>
      <x:c r="X275" s="34"/>
      <x:c r="Y275" s="34"/>
      <x:c r="Z275" s="34"/>
      <x:c r="AA275" s="34"/>
      <x:c r="AB275" s="34"/>
      <x:c r="AC275" s="34"/>
      <x:c r="AD275" s="34"/>
      <x:c r="AE275" s="34"/>
      <x:c r="AF275" s="34"/>
      <x:c r="AG275" s="34"/>
      <x:c r="AH275" s="35" t="str">
        <x:f>IF(COUNTA(X275:AA275)&lt;4,"",ROUND((X275*20)*45%+(((Y275-1)/4*100)*30%+((Z275-1)/4*100)*25%+(1-(AA275-1)/4)*100*25%+(1-(MAX(1,AC275:AE275)-1)/4)*100*20%)*55%,0))</x:f>
      </x:c>
      <x:c r="AI275" s="35" t="str">
        <x:f>IF(AH275="","",IF(AH275&gt;=85,"Excelente",IF(AH275&gt;=70,"Adequado",IF(AH275&gt;=50,"Atenção","Crítico"))))</x:f>
      </x:c>
    </x:row>
    <x:row r="276">
      <x:c r="A276" s="33"/>
      <x:c r="B276" s="33"/>
      <x:c r="C276" s="33"/>
      <x:c r="D276" s="33"/>
      <x:c r="E276" s="36"/>
      <x:c r="F276" s="36"/>
      <x:c r="G276" s="33"/>
      <x:c r="H276" s="33"/>
      <x:c r="I276" s="33"/>
      <x:c r="J276" s="33"/>
      <x:c r="K276" s="33"/>
      <x:c r="L276" s="33"/>
      <x:c r="M276" s="33"/>
      <x:c r="N276" s="37"/>
      <x:c r="O276" s="33"/>
      <x:c r="P276" s="33"/>
      <x:c r="Q276" s="33"/>
      <x:c r="R276" s="37"/>
      <x:c r="S276" s="33"/>
      <x:c r="T276" s="33"/>
      <x:c r="U276" s="33"/>
      <x:c r="V276" s="38"/>
      <x:c r="W276" s="34"/>
      <x:c r="X276" s="34"/>
      <x:c r="Y276" s="34"/>
      <x:c r="Z276" s="34"/>
      <x:c r="AA276" s="34"/>
      <x:c r="AB276" s="34"/>
      <x:c r="AC276" s="34"/>
      <x:c r="AD276" s="34"/>
      <x:c r="AE276" s="34"/>
      <x:c r="AF276" s="34"/>
      <x:c r="AG276" s="34"/>
      <x:c r="AH276" s="35" t="str">
        <x:f>IF(COUNTA(X276:AA276)&lt;4,"",ROUND((X276*20)*45%+(((Y276-1)/4*100)*30%+((Z276-1)/4*100)*25%+(1-(AA276-1)/4)*100*25%+(1-(MAX(1,AC276:AE276)-1)/4)*100*20%)*55%,0))</x:f>
      </x:c>
      <x:c r="AI276" s="35" t="str">
        <x:f>IF(AH276="","",IF(AH276&gt;=85,"Excelente",IF(AH276&gt;=70,"Adequado",IF(AH276&gt;=50,"Atenção","Crítico"))))</x:f>
      </x:c>
    </x:row>
    <x:row r="277">
      <x:c r="A277" s="33"/>
      <x:c r="B277" s="33"/>
      <x:c r="C277" s="33"/>
      <x:c r="D277" s="33"/>
      <x:c r="E277" s="36"/>
      <x:c r="F277" s="36"/>
      <x:c r="G277" s="33"/>
      <x:c r="H277" s="33"/>
      <x:c r="I277" s="33"/>
      <x:c r="J277" s="33"/>
      <x:c r="K277" s="33"/>
      <x:c r="L277" s="33"/>
      <x:c r="M277" s="33"/>
      <x:c r="N277" s="37"/>
      <x:c r="O277" s="33"/>
      <x:c r="P277" s="33"/>
      <x:c r="Q277" s="33"/>
      <x:c r="R277" s="37"/>
      <x:c r="S277" s="33"/>
      <x:c r="T277" s="33"/>
      <x:c r="U277" s="33"/>
      <x:c r="V277" s="38"/>
      <x:c r="W277" s="34"/>
      <x:c r="X277" s="34"/>
      <x:c r="Y277" s="34"/>
      <x:c r="Z277" s="34"/>
      <x:c r="AA277" s="34"/>
      <x:c r="AB277" s="34"/>
      <x:c r="AC277" s="34"/>
      <x:c r="AD277" s="34"/>
      <x:c r="AE277" s="34"/>
      <x:c r="AF277" s="34"/>
      <x:c r="AG277" s="34"/>
      <x:c r="AH277" s="35" t="str">
        <x:f>IF(COUNTA(X277:AA277)&lt;4,"",ROUND((X277*20)*45%+(((Y277-1)/4*100)*30%+((Z277-1)/4*100)*25%+(1-(AA277-1)/4)*100*25%+(1-(MAX(1,AC277:AE277)-1)/4)*100*20%)*55%,0))</x:f>
      </x:c>
      <x:c r="AI277" s="35" t="str">
        <x:f>IF(AH277="","",IF(AH277&gt;=85,"Excelente",IF(AH277&gt;=70,"Adequado",IF(AH277&gt;=50,"Atenção","Crítico"))))</x:f>
      </x:c>
    </x:row>
    <x:row r="278">
      <x:c r="A278" s="33"/>
      <x:c r="B278" s="33"/>
      <x:c r="C278" s="33"/>
      <x:c r="D278" s="33"/>
      <x:c r="E278" s="36"/>
      <x:c r="F278" s="36"/>
      <x:c r="G278" s="33"/>
      <x:c r="H278" s="33"/>
      <x:c r="I278" s="33"/>
      <x:c r="J278" s="33"/>
      <x:c r="K278" s="33"/>
      <x:c r="L278" s="33"/>
      <x:c r="M278" s="33"/>
      <x:c r="N278" s="37"/>
      <x:c r="O278" s="33"/>
      <x:c r="P278" s="33"/>
      <x:c r="Q278" s="33"/>
      <x:c r="R278" s="37"/>
      <x:c r="S278" s="33"/>
      <x:c r="T278" s="33"/>
      <x:c r="U278" s="33"/>
      <x:c r="V278" s="38"/>
      <x:c r="W278" s="34"/>
      <x:c r="X278" s="34"/>
      <x:c r="Y278" s="34"/>
      <x:c r="Z278" s="34"/>
      <x:c r="AA278" s="34"/>
      <x:c r="AB278" s="34"/>
      <x:c r="AC278" s="34"/>
      <x:c r="AD278" s="34"/>
      <x:c r="AE278" s="34"/>
      <x:c r="AF278" s="34"/>
      <x:c r="AG278" s="34"/>
      <x:c r="AH278" s="35" t="str">
        <x:f>IF(COUNTA(X278:AA278)&lt;4,"",ROUND((X278*20)*45%+(((Y278-1)/4*100)*30%+((Z278-1)/4*100)*25%+(1-(AA278-1)/4)*100*25%+(1-(MAX(1,AC278:AE278)-1)/4)*100*20%)*55%,0))</x:f>
      </x:c>
      <x:c r="AI278" s="35" t="str">
        <x:f>IF(AH278="","",IF(AH278&gt;=85,"Excelente",IF(AH278&gt;=70,"Adequado",IF(AH278&gt;=50,"Atenção","Crítico"))))</x:f>
      </x:c>
    </x:row>
    <x:row r="279">
      <x:c r="A279" s="33"/>
      <x:c r="B279" s="33"/>
      <x:c r="C279" s="33"/>
      <x:c r="D279" s="33"/>
      <x:c r="E279" s="36"/>
      <x:c r="F279" s="36"/>
      <x:c r="G279" s="33"/>
      <x:c r="H279" s="33"/>
      <x:c r="I279" s="33"/>
      <x:c r="J279" s="33"/>
      <x:c r="K279" s="33"/>
      <x:c r="L279" s="33"/>
      <x:c r="M279" s="33"/>
      <x:c r="N279" s="37"/>
      <x:c r="O279" s="33"/>
      <x:c r="P279" s="33"/>
      <x:c r="Q279" s="33"/>
      <x:c r="R279" s="37"/>
      <x:c r="S279" s="33"/>
      <x:c r="T279" s="33"/>
      <x:c r="U279" s="33"/>
      <x:c r="V279" s="38"/>
      <x:c r="W279" s="34"/>
      <x:c r="X279" s="34"/>
      <x:c r="Y279" s="34"/>
      <x:c r="Z279" s="34"/>
      <x:c r="AA279" s="34"/>
      <x:c r="AB279" s="34"/>
      <x:c r="AC279" s="34"/>
      <x:c r="AD279" s="34"/>
      <x:c r="AE279" s="34"/>
      <x:c r="AF279" s="34"/>
      <x:c r="AG279" s="34"/>
      <x:c r="AH279" s="35" t="str">
        <x:f>IF(COUNTA(X279:AA279)&lt;4,"",ROUND((X279*20)*45%+(((Y279-1)/4*100)*30%+((Z279-1)/4*100)*25%+(1-(AA279-1)/4)*100*25%+(1-(MAX(1,AC279:AE279)-1)/4)*100*20%)*55%,0))</x:f>
      </x:c>
      <x:c r="AI279" s="35" t="str">
        <x:f>IF(AH279="","",IF(AH279&gt;=85,"Excelente",IF(AH279&gt;=70,"Adequado",IF(AH279&gt;=50,"Atenção","Crítico"))))</x:f>
      </x:c>
    </x:row>
    <x:row r="280">
      <x:c r="A280" s="33"/>
      <x:c r="B280" s="33"/>
      <x:c r="C280" s="33"/>
      <x:c r="D280" s="33"/>
      <x:c r="E280" s="36"/>
      <x:c r="F280" s="36"/>
      <x:c r="G280" s="33"/>
      <x:c r="H280" s="33"/>
      <x:c r="I280" s="33"/>
      <x:c r="J280" s="33"/>
      <x:c r="K280" s="33"/>
      <x:c r="L280" s="33"/>
      <x:c r="M280" s="33"/>
      <x:c r="N280" s="37"/>
      <x:c r="O280" s="33"/>
      <x:c r="P280" s="33"/>
      <x:c r="Q280" s="33"/>
      <x:c r="R280" s="37"/>
      <x:c r="S280" s="33"/>
      <x:c r="T280" s="33"/>
      <x:c r="U280" s="33"/>
      <x:c r="V280" s="38"/>
      <x:c r="W280" s="34"/>
      <x:c r="X280" s="34"/>
      <x:c r="Y280" s="34"/>
      <x:c r="Z280" s="34"/>
      <x:c r="AA280" s="34"/>
      <x:c r="AB280" s="34"/>
      <x:c r="AC280" s="34"/>
      <x:c r="AD280" s="34"/>
      <x:c r="AE280" s="34"/>
      <x:c r="AF280" s="34"/>
      <x:c r="AG280" s="34"/>
      <x:c r="AH280" s="35" t="str">
        <x:f>IF(COUNTA(X280:AA280)&lt;4,"",ROUND((X280*20)*45%+(((Y280-1)/4*100)*30%+((Z280-1)/4*100)*25%+(1-(AA280-1)/4)*100*25%+(1-(MAX(1,AC280:AE280)-1)/4)*100*20%)*55%,0))</x:f>
      </x:c>
      <x:c r="AI280" s="35" t="str">
        <x:f>IF(AH280="","",IF(AH280&gt;=85,"Excelente",IF(AH280&gt;=70,"Adequado",IF(AH280&gt;=50,"Atenção","Crítico"))))</x:f>
      </x:c>
    </x:row>
    <x:row r="281">
      <x:c r="A281" s="33"/>
      <x:c r="B281" s="33"/>
      <x:c r="C281" s="33"/>
      <x:c r="D281" s="33"/>
      <x:c r="E281" s="36"/>
      <x:c r="F281" s="36"/>
      <x:c r="G281" s="33"/>
      <x:c r="H281" s="33"/>
      <x:c r="I281" s="33"/>
      <x:c r="J281" s="33"/>
      <x:c r="K281" s="33"/>
      <x:c r="L281" s="33"/>
      <x:c r="M281" s="33"/>
      <x:c r="N281" s="37"/>
      <x:c r="O281" s="33"/>
      <x:c r="P281" s="33"/>
      <x:c r="Q281" s="33"/>
      <x:c r="R281" s="37"/>
      <x:c r="S281" s="33"/>
      <x:c r="T281" s="33"/>
      <x:c r="U281" s="33"/>
      <x:c r="V281" s="38"/>
      <x:c r="W281" s="34"/>
      <x:c r="X281" s="34"/>
      <x:c r="Y281" s="34"/>
      <x:c r="Z281" s="34"/>
      <x:c r="AA281" s="34"/>
      <x:c r="AB281" s="34"/>
      <x:c r="AC281" s="34"/>
      <x:c r="AD281" s="34"/>
      <x:c r="AE281" s="34"/>
      <x:c r="AF281" s="34"/>
      <x:c r="AG281" s="34"/>
      <x:c r="AH281" s="35" t="str">
        <x:f>IF(COUNTA(X281:AA281)&lt;4,"",ROUND((X281*20)*45%+(((Y281-1)/4*100)*30%+((Z281-1)/4*100)*25%+(1-(AA281-1)/4)*100*25%+(1-(MAX(1,AC281:AE281)-1)/4)*100*20%)*55%,0))</x:f>
      </x:c>
      <x:c r="AI281" s="35" t="str">
        <x:f>IF(AH281="","",IF(AH281&gt;=85,"Excelente",IF(AH281&gt;=70,"Adequado",IF(AH281&gt;=50,"Atenção","Crítico"))))</x:f>
      </x:c>
    </x:row>
    <x:row r="282">
      <x:c r="A282" s="33"/>
      <x:c r="B282" s="33"/>
      <x:c r="C282" s="33"/>
      <x:c r="D282" s="33"/>
      <x:c r="E282" s="36"/>
      <x:c r="F282" s="36"/>
      <x:c r="G282" s="33"/>
      <x:c r="H282" s="33"/>
      <x:c r="I282" s="33"/>
      <x:c r="J282" s="33"/>
      <x:c r="K282" s="33"/>
      <x:c r="L282" s="33"/>
      <x:c r="M282" s="33"/>
      <x:c r="N282" s="37"/>
      <x:c r="O282" s="33"/>
      <x:c r="P282" s="33"/>
      <x:c r="Q282" s="33"/>
      <x:c r="R282" s="37"/>
      <x:c r="S282" s="33"/>
      <x:c r="T282" s="33"/>
      <x:c r="U282" s="33"/>
      <x:c r="V282" s="38"/>
      <x:c r="W282" s="34"/>
      <x:c r="X282" s="34"/>
      <x:c r="Y282" s="34"/>
      <x:c r="Z282" s="34"/>
      <x:c r="AA282" s="34"/>
      <x:c r="AB282" s="34"/>
      <x:c r="AC282" s="34"/>
      <x:c r="AD282" s="34"/>
      <x:c r="AE282" s="34"/>
      <x:c r="AF282" s="34"/>
      <x:c r="AG282" s="34"/>
      <x:c r="AH282" s="35" t="str">
        <x:f>IF(COUNTA(X282:AA282)&lt;4,"",ROUND((X282*20)*45%+(((Y282-1)/4*100)*30%+((Z282-1)/4*100)*25%+(1-(AA282-1)/4)*100*25%+(1-(MAX(1,AC282:AE282)-1)/4)*100*20%)*55%,0))</x:f>
      </x:c>
      <x:c r="AI282" s="35" t="str">
        <x:f>IF(AH282="","",IF(AH282&gt;=85,"Excelente",IF(AH282&gt;=70,"Adequado",IF(AH282&gt;=50,"Atenção","Crítico"))))</x:f>
      </x:c>
    </x:row>
    <x:row r="283">
      <x:c r="A283" s="33"/>
      <x:c r="B283" s="33"/>
      <x:c r="C283" s="33"/>
      <x:c r="D283" s="33"/>
      <x:c r="E283" s="36"/>
      <x:c r="F283" s="36"/>
      <x:c r="G283" s="33"/>
      <x:c r="H283" s="33"/>
      <x:c r="I283" s="33"/>
      <x:c r="J283" s="33"/>
      <x:c r="K283" s="33"/>
      <x:c r="L283" s="33"/>
      <x:c r="M283" s="33"/>
      <x:c r="N283" s="37"/>
      <x:c r="O283" s="33"/>
      <x:c r="P283" s="33"/>
      <x:c r="Q283" s="33"/>
      <x:c r="R283" s="37"/>
      <x:c r="S283" s="33"/>
      <x:c r="T283" s="33"/>
      <x:c r="U283" s="33"/>
      <x:c r="V283" s="38"/>
      <x:c r="W283" s="34"/>
      <x:c r="X283" s="34"/>
      <x:c r="Y283" s="34"/>
      <x:c r="Z283" s="34"/>
      <x:c r="AA283" s="34"/>
      <x:c r="AB283" s="34"/>
      <x:c r="AC283" s="34"/>
      <x:c r="AD283" s="34"/>
      <x:c r="AE283" s="34"/>
      <x:c r="AF283" s="34"/>
      <x:c r="AG283" s="34"/>
      <x:c r="AH283" s="35" t="str">
        <x:f>IF(COUNTA(X283:AA283)&lt;4,"",ROUND((X283*20)*45%+(((Y283-1)/4*100)*30%+((Z283-1)/4*100)*25%+(1-(AA283-1)/4)*100*25%+(1-(MAX(1,AC283:AE283)-1)/4)*100*20%)*55%,0))</x:f>
      </x:c>
      <x:c r="AI283" s="35" t="str">
        <x:f>IF(AH283="","",IF(AH283&gt;=85,"Excelente",IF(AH283&gt;=70,"Adequado",IF(AH283&gt;=50,"Atenção","Crítico"))))</x:f>
      </x:c>
    </x:row>
    <x:row r="284">
      <x:c r="A284" s="33"/>
      <x:c r="B284" s="33"/>
      <x:c r="C284" s="33"/>
      <x:c r="D284" s="33"/>
      <x:c r="E284" s="36"/>
      <x:c r="F284" s="36"/>
      <x:c r="G284" s="33"/>
      <x:c r="H284" s="33"/>
      <x:c r="I284" s="33"/>
      <x:c r="J284" s="33"/>
      <x:c r="K284" s="33"/>
      <x:c r="L284" s="33"/>
      <x:c r="M284" s="33"/>
      <x:c r="N284" s="37"/>
      <x:c r="O284" s="33"/>
      <x:c r="P284" s="33"/>
      <x:c r="Q284" s="33"/>
      <x:c r="R284" s="37"/>
      <x:c r="S284" s="33"/>
      <x:c r="T284" s="33"/>
      <x:c r="U284" s="33"/>
      <x:c r="V284" s="38"/>
      <x:c r="W284" s="34"/>
      <x:c r="X284" s="34"/>
      <x:c r="Y284" s="34"/>
      <x:c r="Z284" s="34"/>
      <x:c r="AA284" s="34"/>
      <x:c r="AB284" s="34"/>
      <x:c r="AC284" s="34"/>
      <x:c r="AD284" s="34"/>
      <x:c r="AE284" s="34"/>
      <x:c r="AF284" s="34"/>
      <x:c r="AG284" s="34"/>
      <x:c r="AH284" s="35" t="str">
        <x:f>IF(COUNTA(X284:AA284)&lt;4,"",ROUND((X284*20)*45%+(((Y284-1)/4*100)*30%+((Z284-1)/4*100)*25%+(1-(AA284-1)/4)*100*25%+(1-(MAX(1,AC284:AE284)-1)/4)*100*20%)*55%,0))</x:f>
      </x:c>
      <x:c r="AI284" s="35" t="str">
        <x:f>IF(AH284="","",IF(AH284&gt;=85,"Excelente",IF(AH284&gt;=70,"Adequado",IF(AH284&gt;=50,"Atenção","Crítico"))))</x:f>
      </x:c>
    </x:row>
    <x:row r="285">
      <x:c r="A285" s="33"/>
      <x:c r="B285" s="33"/>
      <x:c r="C285" s="33"/>
      <x:c r="D285" s="33"/>
      <x:c r="E285" s="36"/>
      <x:c r="F285" s="36"/>
      <x:c r="G285" s="33"/>
      <x:c r="H285" s="33"/>
      <x:c r="I285" s="33"/>
      <x:c r="J285" s="33"/>
      <x:c r="K285" s="33"/>
      <x:c r="L285" s="33"/>
      <x:c r="M285" s="33"/>
      <x:c r="N285" s="37"/>
      <x:c r="O285" s="33"/>
      <x:c r="P285" s="33"/>
      <x:c r="Q285" s="33"/>
      <x:c r="R285" s="37"/>
      <x:c r="S285" s="33"/>
      <x:c r="T285" s="33"/>
      <x:c r="U285" s="33"/>
      <x:c r="V285" s="38"/>
      <x:c r="W285" s="34"/>
      <x:c r="X285" s="34"/>
      <x:c r="Y285" s="34"/>
      <x:c r="Z285" s="34"/>
      <x:c r="AA285" s="34"/>
      <x:c r="AB285" s="34"/>
      <x:c r="AC285" s="34"/>
      <x:c r="AD285" s="34"/>
      <x:c r="AE285" s="34"/>
      <x:c r="AF285" s="34"/>
      <x:c r="AG285" s="34"/>
      <x:c r="AH285" s="35" t="str">
        <x:f>IF(COUNTA(X285:AA285)&lt;4,"",ROUND((X285*20)*45%+(((Y285-1)/4*100)*30%+((Z285-1)/4*100)*25%+(1-(AA285-1)/4)*100*25%+(1-(MAX(1,AC285:AE285)-1)/4)*100*20%)*55%,0))</x:f>
      </x:c>
      <x:c r="AI285" s="35" t="str">
        <x:f>IF(AH285="","",IF(AH285&gt;=85,"Excelente",IF(AH285&gt;=70,"Adequado",IF(AH285&gt;=50,"Atenção","Crítico"))))</x:f>
      </x:c>
    </x:row>
    <x:row r="286">
      <x:c r="A286" s="33"/>
      <x:c r="B286" s="33"/>
      <x:c r="C286" s="33"/>
      <x:c r="D286" s="33"/>
      <x:c r="E286" s="36"/>
      <x:c r="F286" s="36"/>
      <x:c r="G286" s="33"/>
      <x:c r="H286" s="33"/>
      <x:c r="I286" s="33"/>
      <x:c r="J286" s="33"/>
      <x:c r="K286" s="33"/>
      <x:c r="L286" s="33"/>
      <x:c r="M286" s="33"/>
      <x:c r="N286" s="37"/>
      <x:c r="O286" s="33"/>
      <x:c r="P286" s="33"/>
      <x:c r="Q286" s="33"/>
      <x:c r="R286" s="37"/>
      <x:c r="S286" s="33"/>
      <x:c r="T286" s="33"/>
      <x:c r="U286" s="33"/>
      <x:c r="V286" s="38"/>
      <x:c r="W286" s="34"/>
      <x:c r="X286" s="34"/>
      <x:c r="Y286" s="34"/>
      <x:c r="Z286" s="34"/>
      <x:c r="AA286" s="34"/>
      <x:c r="AB286" s="34"/>
      <x:c r="AC286" s="34"/>
      <x:c r="AD286" s="34"/>
      <x:c r="AE286" s="34"/>
      <x:c r="AF286" s="34"/>
      <x:c r="AG286" s="34"/>
      <x:c r="AH286" s="35" t="str">
        <x:f>IF(COUNTA(X286:AA286)&lt;4,"",ROUND((X286*20)*45%+(((Y286-1)/4*100)*30%+((Z286-1)/4*100)*25%+(1-(AA286-1)/4)*100*25%+(1-(MAX(1,AC286:AE286)-1)/4)*100*20%)*55%,0))</x:f>
      </x:c>
      <x:c r="AI286" s="35" t="str">
        <x:f>IF(AH286="","",IF(AH286&gt;=85,"Excelente",IF(AH286&gt;=70,"Adequado",IF(AH286&gt;=50,"Atenção","Crítico"))))</x:f>
      </x:c>
    </x:row>
    <x:row r="287">
      <x:c r="A287" s="33"/>
      <x:c r="B287" s="33"/>
      <x:c r="C287" s="33"/>
      <x:c r="D287" s="33"/>
      <x:c r="E287" s="36"/>
      <x:c r="F287" s="36"/>
      <x:c r="G287" s="33"/>
      <x:c r="H287" s="33"/>
      <x:c r="I287" s="33"/>
      <x:c r="J287" s="33"/>
      <x:c r="K287" s="33"/>
      <x:c r="L287" s="33"/>
      <x:c r="M287" s="33"/>
      <x:c r="N287" s="37"/>
      <x:c r="O287" s="33"/>
      <x:c r="P287" s="33"/>
      <x:c r="Q287" s="33"/>
      <x:c r="R287" s="37"/>
      <x:c r="S287" s="33"/>
      <x:c r="T287" s="33"/>
      <x:c r="U287" s="33"/>
      <x:c r="V287" s="38"/>
      <x:c r="W287" s="34"/>
      <x:c r="X287" s="34"/>
      <x:c r="Y287" s="34"/>
      <x:c r="Z287" s="34"/>
      <x:c r="AA287" s="34"/>
      <x:c r="AB287" s="34"/>
      <x:c r="AC287" s="34"/>
      <x:c r="AD287" s="34"/>
      <x:c r="AE287" s="34"/>
      <x:c r="AF287" s="34"/>
      <x:c r="AG287" s="34"/>
      <x:c r="AH287" s="35" t="str">
        <x:f>IF(COUNTA(X287:AA287)&lt;4,"",ROUND((X287*20)*45%+(((Y287-1)/4*100)*30%+((Z287-1)/4*100)*25%+(1-(AA287-1)/4)*100*25%+(1-(MAX(1,AC287:AE287)-1)/4)*100*20%)*55%,0))</x:f>
      </x:c>
      <x:c r="AI287" s="35" t="str">
        <x:f>IF(AH287="","",IF(AH287&gt;=85,"Excelente",IF(AH287&gt;=70,"Adequado",IF(AH287&gt;=50,"Atenção","Crítico"))))</x:f>
      </x:c>
    </x:row>
    <x:row r="288">
      <x:c r="A288" s="33"/>
      <x:c r="B288" s="33"/>
      <x:c r="C288" s="33"/>
      <x:c r="D288" s="33"/>
      <x:c r="E288" s="36"/>
      <x:c r="F288" s="36"/>
      <x:c r="G288" s="33"/>
      <x:c r="H288" s="33"/>
      <x:c r="I288" s="33"/>
      <x:c r="J288" s="33"/>
      <x:c r="K288" s="33"/>
      <x:c r="L288" s="33"/>
      <x:c r="M288" s="33"/>
      <x:c r="N288" s="37"/>
      <x:c r="O288" s="33"/>
      <x:c r="P288" s="33"/>
      <x:c r="Q288" s="33"/>
      <x:c r="R288" s="37"/>
      <x:c r="S288" s="33"/>
      <x:c r="T288" s="33"/>
      <x:c r="U288" s="33"/>
      <x:c r="V288" s="38"/>
      <x:c r="W288" s="34"/>
      <x:c r="X288" s="34"/>
      <x:c r="Y288" s="34"/>
      <x:c r="Z288" s="34"/>
      <x:c r="AA288" s="34"/>
      <x:c r="AB288" s="34"/>
      <x:c r="AC288" s="34"/>
      <x:c r="AD288" s="34"/>
      <x:c r="AE288" s="34"/>
      <x:c r="AF288" s="34"/>
      <x:c r="AG288" s="34"/>
      <x:c r="AH288" s="35" t="str">
        <x:f>IF(COUNTA(X288:AA288)&lt;4,"",ROUND((X288*20)*45%+(((Y288-1)/4*100)*30%+((Z288-1)/4*100)*25%+(1-(AA288-1)/4)*100*25%+(1-(MAX(1,AC288:AE288)-1)/4)*100*20%)*55%,0))</x:f>
      </x:c>
      <x:c r="AI288" s="35" t="str">
        <x:f>IF(AH288="","",IF(AH288&gt;=85,"Excelente",IF(AH288&gt;=70,"Adequado",IF(AH288&gt;=50,"Atenção","Crítico"))))</x:f>
      </x:c>
    </x:row>
    <x:row r="289">
      <x:c r="A289" s="33"/>
      <x:c r="B289" s="33"/>
      <x:c r="C289" s="33"/>
      <x:c r="D289" s="33"/>
      <x:c r="E289" s="36"/>
      <x:c r="F289" s="36"/>
      <x:c r="G289" s="33"/>
      <x:c r="H289" s="33"/>
      <x:c r="I289" s="33"/>
      <x:c r="J289" s="33"/>
      <x:c r="K289" s="33"/>
      <x:c r="L289" s="33"/>
      <x:c r="M289" s="33"/>
      <x:c r="N289" s="37"/>
      <x:c r="O289" s="33"/>
      <x:c r="P289" s="33"/>
      <x:c r="Q289" s="33"/>
      <x:c r="R289" s="37"/>
      <x:c r="S289" s="33"/>
      <x:c r="T289" s="33"/>
      <x:c r="U289" s="33"/>
      <x:c r="V289" s="38"/>
      <x:c r="W289" s="34"/>
      <x:c r="X289" s="34"/>
      <x:c r="Y289" s="34"/>
      <x:c r="Z289" s="34"/>
      <x:c r="AA289" s="34"/>
      <x:c r="AB289" s="34"/>
      <x:c r="AC289" s="34"/>
      <x:c r="AD289" s="34"/>
      <x:c r="AE289" s="34"/>
      <x:c r="AF289" s="34"/>
      <x:c r="AG289" s="34"/>
      <x:c r="AH289" s="35" t="str">
        <x:f>IF(COUNTA(X289:AA289)&lt;4,"",ROUND((X289*20)*45%+(((Y289-1)/4*100)*30%+((Z289-1)/4*100)*25%+(1-(AA289-1)/4)*100*25%+(1-(MAX(1,AC289:AE289)-1)/4)*100*20%)*55%,0))</x:f>
      </x:c>
      <x:c r="AI289" s="35" t="str">
        <x:f>IF(AH289="","",IF(AH289&gt;=85,"Excelente",IF(AH289&gt;=70,"Adequado",IF(AH289&gt;=50,"Atenção","Crítico"))))</x:f>
      </x:c>
    </x:row>
    <x:row r="290">
      <x:c r="A290" s="33"/>
      <x:c r="B290" s="33"/>
      <x:c r="C290" s="33"/>
      <x:c r="D290" s="33"/>
      <x:c r="E290" s="36"/>
      <x:c r="F290" s="36"/>
      <x:c r="G290" s="33"/>
      <x:c r="H290" s="33"/>
      <x:c r="I290" s="33"/>
      <x:c r="J290" s="33"/>
      <x:c r="K290" s="33"/>
      <x:c r="L290" s="33"/>
      <x:c r="M290" s="33"/>
      <x:c r="N290" s="37"/>
      <x:c r="O290" s="33"/>
      <x:c r="P290" s="33"/>
      <x:c r="Q290" s="33"/>
      <x:c r="R290" s="37"/>
      <x:c r="S290" s="33"/>
      <x:c r="T290" s="33"/>
      <x:c r="U290" s="33"/>
      <x:c r="V290" s="38"/>
      <x:c r="W290" s="34"/>
      <x:c r="X290" s="34"/>
      <x:c r="Y290" s="34"/>
      <x:c r="Z290" s="34"/>
      <x:c r="AA290" s="34"/>
      <x:c r="AB290" s="34"/>
      <x:c r="AC290" s="34"/>
      <x:c r="AD290" s="34"/>
      <x:c r="AE290" s="34"/>
      <x:c r="AF290" s="34"/>
      <x:c r="AG290" s="34"/>
      <x:c r="AH290" s="35" t="str">
        <x:f>IF(COUNTA(X290:AA290)&lt;4,"",ROUND((X290*20)*45%+(((Y290-1)/4*100)*30%+((Z290-1)/4*100)*25%+(1-(AA290-1)/4)*100*25%+(1-(MAX(1,AC290:AE290)-1)/4)*100*20%)*55%,0))</x:f>
      </x:c>
      <x:c r="AI290" s="35" t="str">
        <x:f>IF(AH290="","",IF(AH290&gt;=85,"Excelente",IF(AH290&gt;=70,"Adequado",IF(AH290&gt;=50,"Atenção","Crítico"))))</x:f>
      </x:c>
    </x:row>
    <x:row r="291">
      <x:c r="A291" s="33"/>
      <x:c r="B291" s="33"/>
      <x:c r="C291" s="33"/>
      <x:c r="D291" s="33"/>
      <x:c r="E291" s="36"/>
      <x:c r="F291" s="36"/>
      <x:c r="G291" s="33"/>
      <x:c r="H291" s="33"/>
      <x:c r="I291" s="33"/>
      <x:c r="J291" s="33"/>
      <x:c r="K291" s="33"/>
      <x:c r="L291" s="33"/>
      <x:c r="M291" s="33"/>
      <x:c r="N291" s="37"/>
      <x:c r="O291" s="33"/>
      <x:c r="P291" s="33"/>
      <x:c r="Q291" s="33"/>
      <x:c r="R291" s="37"/>
      <x:c r="S291" s="33"/>
      <x:c r="T291" s="33"/>
      <x:c r="U291" s="33"/>
      <x:c r="V291" s="38"/>
      <x:c r="W291" s="34"/>
      <x:c r="X291" s="34"/>
      <x:c r="Y291" s="34"/>
      <x:c r="Z291" s="34"/>
      <x:c r="AA291" s="34"/>
      <x:c r="AB291" s="34"/>
      <x:c r="AC291" s="34"/>
      <x:c r="AD291" s="34"/>
      <x:c r="AE291" s="34"/>
      <x:c r="AF291" s="34"/>
      <x:c r="AG291" s="34"/>
      <x:c r="AH291" s="35" t="str">
        <x:f>IF(COUNTA(X291:AA291)&lt;4,"",ROUND((X291*20)*45%+(((Y291-1)/4*100)*30%+((Z291-1)/4*100)*25%+(1-(AA291-1)/4)*100*25%+(1-(MAX(1,AC291:AE291)-1)/4)*100*20%)*55%,0))</x:f>
      </x:c>
      <x:c r="AI291" s="35" t="str">
        <x:f>IF(AH291="","",IF(AH291&gt;=85,"Excelente",IF(AH291&gt;=70,"Adequado",IF(AH291&gt;=50,"Atenção","Crítico"))))</x:f>
      </x:c>
    </x:row>
    <x:row r="292">
      <x:c r="A292" s="33"/>
      <x:c r="B292" s="33"/>
      <x:c r="C292" s="33"/>
      <x:c r="D292" s="33"/>
      <x:c r="E292" s="36"/>
      <x:c r="F292" s="36"/>
      <x:c r="G292" s="33"/>
      <x:c r="H292" s="33"/>
      <x:c r="I292" s="33"/>
      <x:c r="J292" s="33"/>
      <x:c r="K292" s="33"/>
      <x:c r="L292" s="33"/>
      <x:c r="M292" s="33"/>
      <x:c r="N292" s="37"/>
      <x:c r="O292" s="33"/>
      <x:c r="P292" s="33"/>
      <x:c r="Q292" s="33"/>
      <x:c r="R292" s="37"/>
      <x:c r="S292" s="33"/>
      <x:c r="T292" s="33"/>
      <x:c r="U292" s="33"/>
      <x:c r="V292" s="38"/>
      <x:c r="W292" s="34"/>
      <x:c r="X292" s="34"/>
      <x:c r="Y292" s="34"/>
      <x:c r="Z292" s="34"/>
      <x:c r="AA292" s="34"/>
      <x:c r="AB292" s="34"/>
      <x:c r="AC292" s="34"/>
      <x:c r="AD292" s="34"/>
      <x:c r="AE292" s="34"/>
      <x:c r="AF292" s="34"/>
      <x:c r="AG292" s="34"/>
      <x:c r="AH292" s="35" t="str">
        <x:f>IF(COUNTA(X292:AA292)&lt;4,"",ROUND((X292*20)*45%+(((Y292-1)/4*100)*30%+((Z292-1)/4*100)*25%+(1-(AA292-1)/4)*100*25%+(1-(MAX(1,AC292:AE292)-1)/4)*100*20%)*55%,0))</x:f>
      </x:c>
      <x:c r="AI292" s="35" t="str">
        <x:f>IF(AH292="","",IF(AH292&gt;=85,"Excelente",IF(AH292&gt;=70,"Adequado",IF(AH292&gt;=50,"Atenção","Crítico"))))</x:f>
      </x:c>
    </x:row>
    <x:row r="293">
      <x:c r="A293" s="33"/>
      <x:c r="B293" s="33"/>
      <x:c r="C293" s="33"/>
      <x:c r="D293" s="33"/>
      <x:c r="E293" s="36"/>
      <x:c r="F293" s="36"/>
      <x:c r="G293" s="33"/>
      <x:c r="H293" s="33"/>
      <x:c r="I293" s="33"/>
      <x:c r="J293" s="33"/>
      <x:c r="K293" s="33"/>
      <x:c r="L293" s="33"/>
      <x:c r="M293" s="33"/>
      <x:c r="N293" s="37"/>
      <x:c r="O293" s="33"/>
      <x:c r="P293" s="33"/>
      <x:c r="Q293" s="33"/>
      <x:c r="R293" s="37"/>
      <x:c r="S293" s="33"/>
      <x:c r="T293" s="33"/>
      <x:c r="U293" s="33"/>
      <x:c r="V293" s="38"/>
      <x:c r="W293" s="34"/>
      <x:c r="X293" s="34"/>
      <x:c r="Y293" s="34"/>
      <x:c r="Z293" s="34"/>
      <x:c r="AA293" s="34"/>
      <x:c r="AB293" s="34"/>
      <x:c r="AC293" s="34"/>
      <x:c r="AD293" s="34"/>
      <x:c r="AE293" s="34"/>
      <x:c r="AF293" s="34"/>
      <x:c r="AG293" s="34"/>
      <x:c r="AH293" s="35" t="str">
        <x:f>IF(COUNTA(X293:AA293)&lt;4,"",ROUND((X293*20)*45%+(((Y293-1)/4*100)*30%+((Z293-1)/4*100)*25%+(1-(AA293-1)/4)*100*25%+(1-(MAX(1,AC293:AE293)-1)/4)*100*20%)*55%,0))</x:f>
      </x:c>
      <x:c r="AI293" s="35" t="str">
        <x:f>IF(AH293="","",IF(AH293&gt;=85,"Excelente",IF(AH293&gt;=70,"Adequado",IF(AH293&gt;=50,"Atenção","Crítico"))))</x:f>
      </x:c>
    </x:row>
    <x:row r="294">
      <x:c r="A294" s="33"/>
      <x:c r="B294" s="33"/>
      <x:c r="C294" s="33"/>
      <x:c r="D294" s="33"/>
      <x:c r="E294" s="36"/>
      <x:c r="F294" s="36"/>
      <x:c r="G294" s="33"/>
      <x:c r="H294" s="33"/>
      <x:c r="I294" s="33"/>
      <x:c r="J294" s="33"/>
      <x:c r="K294" s="33"/>
      <x:c r="L294" s="33"/>
      <x:c r="M294" s="33"/>
      <x:c r="N294" s="37"/>
      <x:c r="O294" s="33"/>
      <x:c r="P294" s="33"/>
      <x:c r="Q294" s="33"/>
      <x:c r="R294" s="37"/>
      <x:c r="S294" s="33"/>
      <x:c r="T294" s="33"/>
      <x:c r="U294" s="33"/>
      <x:c r="V294" s="38"/>
      <x:c r="W294" s="34"/>
      <x:c r="X294" s="34"/>
      <x:c r="Y294" s="34"/>
      <x:c r="Z294" s="34"/>
      <x:c r="AA294" s="34"/>
      <x:c r="AB294" s="34"/>
      <x:c r="AC294" s="34"/>
      <x:c r="AD294" s="34"/>
      <x:c r="AE294" s="34"/>
      <x:c r="AF294" s="34"/>
      <x:c r="AG294" s="34"/>
      <x:c r="AH294" s="35" t="str">
        <x:f>IF(COUNTA(X294:AA294)&lt;4,"",ROUND((X294*20)*45%+(((Y294-1)/4*100)*30%+((Z294-1)/4*100)*25%+(1-(AA294-1)/4)*100*25%+(1-(MAX(1,AC294:AE294)-1)/4)*100*20%)*55%,0))</x:f>
      </x:c>
      <x:c r="AI294" s="35" t="str">
        <x:f>IF(AH294="","",IF(AH294&gt;=85,"Excelente",IF(AH294&gt;=70,"Adequado",IF(AH294&gt;=50,"Atenção","Crítico"))))</x:f>
      </x:c>
    </x:row>
    <x:row r="295">
      <x:c r="A295" s="33"/>
      <x:c r="B295" s="33"/>
      <x:c r="C295" s="33"/>
      <x:c r="D295" s="33"/>
      <x:c r="E295" s="36"/>
      <x:c r="F295" s="36"/>
      <x:c r="G295" s="33"/>
      <x:c r="H295" s="33"/>
      <x:c r="I295" s="33"/>
      <x:c r="J295" s="33"/>
      <x:c r="K295" s="33"/>
      <x:c r="L295" s="33"/>
      <x:c r="M295" s="33"/>
      <x:c r="N295" s="37"/>
      <x:c r="O295" s="33"/>
      <x:c r="P295" s="33"/>
      <x:c r="Q295" s="33"/>
      <x:c r="R295" s="37"/>
      <x:c r="S295" s="33"/>
      <x:c r="T295" s="33"/>
      <x:c r="U295" s="33"/>
      <x:c r="V295" s="38"/>
      <x:c r="W295" s="34"/>
      <x:c r="X295" s="34"/>
      <x:c r="Y295" s="34"/>
      <x:c r="Z295" s="34"/>
      <x:c r="AA295" s="34"/>
      <x:c r="AB295" s="34"/>
      <x:c r="AC295" s="34"/>
      <x:c r="AD295" s="34"/>
      <x:c r="AE295" s="34"/>
      <x:c r="AF295" s="34"/>
      <x:c r="AG295" s="34"/>
      <x:c r="AH295" s="35" t="str">
        <x:f>IF(COUNTA(X295:AA295)&lt;4,"",ROUND((X295*20)*45%+(((Y295-1)/4*100)*30%+((Z295-1)/4*100)*25%+(1-(AA295-1)/4)*100*25%+(1-(MAX(1,AC295:AE295)-1)/4)*100*20%)*55%,0))</x:f>
      </x:c>
      <x:c r="AI295" s="35" t="str">
        <x:f>IF(AH295="","",IF(AH295&gt;=85,"Excelente",IF(AH295&gt;=70,"Adequado",IF(AH295&gt;=50,"Atenção","Crítico"))))</x:f>
      </x:c>
    </x:row>
    <x:row r="296">
      <x:c r="A296" s="33"/>
      <x:c r="B296" s="33"/>
      <x:c r="C296" s="33"/>
      <x:c r="D296" s="33"/>
      <x:c r="E296" s="36"/>
      <x:c r="F296" s="36"/>
      <x:c r="G296" s="33"/>
      <x:c r="H296" s="33"/>
      <x:c r="I296" s="33"/>
      <x:c r="J296" s="33"/>
      <x:c r="K296" s="33"/>
      <x:c r="L296" s="33"/>
      <x:c r="M296" s="33"/>
      <x:c r="N296" s="37"/>
      <x:c r="O296" s="33"/>
      <x:c r="P296" s="33"/>
      <x:c r="Q296" s="33"/>
      <x:c r="R296" s="37"/>
      <x:c r="S296" s="33"/>
      <x:c r="T296" s="33"/>
      <x:c r="U296" s="33"/>
      <x:c r="V296" s="38"/>
      <x:c r="W296" s="34"/>
      <x:c r="X296" s="34"/>
      <x:c r="Y296" s="34"/>
      <x:c r="Z296" s="34"/>
      <x:c r="AA296" s="34"/>
      <x:c r="AB296" s="34"/>
      <x:c r="AC296" s="34"/>
      <x:c r="AD296" s="34"/>
      <x:c r="AE296" s="34"/>
      <x:c r="AF296" s="34"/>
      <x:c r="AG296" s="34"/>
      <x:c r="AH296" s="35" t="str">
        <x:f>IF(COUNTA(X296:AA296)&lt;4,"",ROUND((X296*20)*45%+(((Y296-1)/4*100)*30%+((Z296-1)/4*100)*25%+(1-(AA296-1)/4)*100*25%+(1-(MAX(1,AC296:AE296)-1)/4)*100*20%)*55%,0))</x:f>
      </x:c>
      <x:c r="AI296" s="35" t="str">
        <x:f>IF(AH296="","",IF(AH296&gt;=85,"Excelente",IF(AH296&gt;=70,"Adequado",IF(AH296&gt;=50,"Atenção","Crítico"))))</x:f>
      </x:c>
    </x:row>
    <x:row r="297">
      <x:c r="A297" s="33"/>
      <x:c r="B297" s="33"/>
      <x:c r="C297" s="33"/>
      <x:c r="D297" s="33"/>
      <x:c r="E297" s="36"/>
      <x:c r="F297" s="36"/>
      <x:c r="G297" s="33"/>
      <x:c r="H297" s="33"/>
      <x:c r="I297" s="33"/>
      <x:c r="J297" s="33"/>
      <x:c r="K297" s="33"/>
      <x:c r="L297" s="33"/>
      <x:c r="M297" s="33"/>
      <x:c r="N297" s="37"/>
      <x:c r="O297" s="33"/>
      <x:c r="P297" s="33"/>
      <x:c r="Q297" s="33"/>
      <x:c r="R297" s="37"/>
      <x:c r="S297" s="33"/>
      <x:c r="T297" s="33"/>
      <x:c r="U297" s="33"/>
      <x:c r="V297" s="38"/>
      <x:c r="W297" s="34"/>
      <x:c r="X297" s="34"/>
      <x:c r="Y297" s="34"/>
      <x:c r="Z297" s="34"/>
      <x:c r="AA297" s="34"/>
      <x:c r="AB297" s="34"/>
      <x:c r="AC297" s="34"/>
      <x:c r="AD297" s="34"/>
      <x:c r="AE297" s="34"/>
      <x:c r="AF297" s="34"/>
      <x:c r="AG297" s="34"/>
      <x:c r="AH297" s="35" t="str">
        <x:f>IF(COUNTA(X297:AA297)&lt;4,"",ROUND((X297*20)*45%+(((Y297-1)/4*100)*30%+((Z297-1)/4*100)*25%+(1-(AA297-1)/4)*100*25%+(1-(MAX(1,AC297:AE297)-1)/4)*100*20%)*55%,0))</x:f>
      </x:c>
      <x:c r="AI297" s="35" t="str">
        <x:f>IF(AH297="","",IF(AH297&gt;=85,"Excelente",IF(AH297&gt;=70,"Adequado",IF(AH297&gt;=50,"Atenção","Crítico"))))</x:f>
      </x:c>
    </x:row>
    <x:row r="298">
      <x:c r="A298" s="33"/>
      <x:c r="B298" s="33"/>
      <x:c r="C298" s="33"/>
      <x:c r="D298" s="33"/>
      <x:c r="E298" s="36"/>
      <x:c r="F298" s="36"/>
      <x:c r="G298" s="33"/>
      <x:c r="H298" s="33"/>
      <x:c r="I298" s="33"/>
      <x:c r="J298" s="33"/>
      <x:c r="K298" s="33"/>
      <x:c r="L298" s="33"/>
      <x:c r="M298" s="33"/>
      <x:c r="N298" s="37"/>
      <x:c r="O298" s="33"/>
      <x:c r="P298" s="33"/>
      <x:c r="Q298" s="33"/>
      <x:c r="R298" s="37"/>
      <x:c r="S298" s="33"/>
      <x:c r="T298" s="33"/>
      <x:c r="U298" s="33"/>
      <x:c r="V298" s="38"/>
      <x:c r="W298" s="34"/>
      <x:c r="X298" s="34"/>
      <x:c r="Y298" s="34"/>
      <x:c r="Z298" s="34"/>
      <x:c r="AA298" s="34"/>
      <x:c r="AB298" s="34"/>
      <x:c r="AC298" s="34"/>
      <x:c r="AD298" s="34"/>
      <x:c r="AE298" s="34"/>
      <x:c r="AF298" s="34"/>
      <x:c r="AG298" s="34"/>
      <x:c r="AH298" s="35" t="str">
        <x:f>IF(COUNTA(X298:AA298)&lt;4,"",ROUND((X298*20)*45%+(((Y298-1)/4*100)*30%+((Z298-1)/4*100)*25%+(1-(AA298-1)/4)*100*25%+(1-(MAX(1,AC298:AE298)-1)/4)*100*20%)*55%,0))</x:f>
      </x:c>
      <x:c r="AI298" s="35" t="str">
        <x:f>IF(AH298="","",IF(AH298&gt;=85,"Excelente",IF(AH298&gt;=70,"Adequado",IF(AH298&gt;=50,"Atenção","Crítico"))))</x:f>
      </x:c>
    </x:row>
    <x:row r="299">
      <x:c r="A299" s="33"/>
      <x:c r="B299" s="33"/>
      <x:c r="C299" s="33"/>
      <x:c r="D299" s="33"/>
      <x:c r="E299" s="36"/>
      <x:c r="F299" s="36"/>
      <x:c r="G299" s="33"/>
      <x:c r="H299" s="33"/>
      <x:c r="I299" s="33"/>
      <x:c r="J299" s="33"/>
      <x:c r="K299" s="33"/>
      <x:c r="L299" s="33"/>
      <x:c r="M299" s="33"/>
      <x:c r="N299" s="37"/>
      <x:c r="O299" s="33"/>
      <x:c r="P299" s="33"/>
      <x:c r="Q299" s="33"/>
      <x:c r="R299" s="37"/>
      <x:c r="S299" s="33"/>
      <x:c r="T299" s="33"/>
      <x:c r="U299" s="33"/>
      <x:c r="V299" s="38"/>
      <x:c r="W299" s="34"/>
      <x:c r="X299" s="34"/>
      <x:c r="Y299" s="34"/>
      <x:c r="Z299" s="34"/>
      <x:c r="AA299" s="34"/>
      <x:c r="AB299" s="34"/>
      <x:c r="AC299" s="34"/>
      <x:c r="AD299" s="34"/>
      <x:c r="AE299" s="34"/>
      <x:c r="AF299" s="34"/>
      <x:c r="AG299" s="34"/>
      <x:c r="AH299" s="35" t="str">
        <x:f>IF(COUNTA(X299:AA299)&lt;4,"",ROUND((X299*20)*45%+(((Y299-1)/4*100)*30%+((Z299-1)/4*100)*25%+(1-(AA299-1)/4)*100*25%+(1-(MAX(1,AC299:AE299)-1)/4)*100*20%)*55%,0))</x:f>
      </x:c>
      <x:c r="AI299" s="35" t="str">
        <x:f>IF(AH299="","",IF(AH299&gt;=85,"Excelente",IF(AH299&gt;=70,"Adequado",IF(AH299&gt;=50,"Atenção","Crítico"))))</x:f>
      </x:c>
    </x:row>
    <x:row r="300">
      <x:c r="A300" s="33"/>
      <x:c r="B300" s="33"/>
      <x:c r="C300" s="33"/>
      <x:c r="D300" s="33"/>
      <x:c r="E300" s="36"/>
      <x:c r="F300" s="36"/>
      <x:c r="G300" s="33"/>
      <x:c r="H300" s="33"/>
      <x:c r="I300" s="33"/>
      <x:c r="J300" s="33"/>
      <x:c r="K300" s="33"/>
      <x:c r="L300" s="33"/>
      <x:c r="M300" s="33"/>
      <x:c r="N300" s="37"/>
      <x:c r="O300" s="33"/>
      <x:c r="P300" s="33"/>
      <x:c r="Q300" s="33"/>
      <x:c r="R300" s="37"/>
      <x:c r="S300" s="33"/>
      <x:c r="T300" s="33"/>
      <x:c r="U300" s="33"/>
      <x:c r="V300" s="38"/>
      <x:c r="W300" s="34"/>
      <x:c r="X300" s="34"/>
      <x:c r="Y300" s="34"/>
      <x:c r="Z300" s="34"/>
      <x:c r="AA300" s="34"/>
      <x:c r="AB300" s="34"/>
      <x:c r="AC300" s="34"/>
      <x:c r="AD300" s="34"/>
      <x:c r="AE300" s="34"/>
      <x:c r="AF300" s="34"/>
      <x:c r="AG300" s="34"/>
      <x:c r="AH300" s="35" t="str">
        <x:f>IF(COUNTA(X300:AA300)&lt;4,"",ROUND((X300*20)*45%+(((Y300-1)/4*100)*30%+((Z300-1)/4*100)*25%+(1-(AA300-1)/4)*100*25%+(1-(MAX(1,AC300:AE300)-1)/4)*100*20%)*55%,0))</x:f>
      </x:c>
      <x:c r="AI300" s="35" t="str">
        <x:f>IF(AH300="","",IF(AH300&gt;=85,"Excelente",IF(AH300&gt;=70,"Adequado",IF(AH300&gt;=50,"Atenção","Crítico"))))</x:f>
      </x:c>
    </x:row>
    <x:row r="301">
      <x:c r="A301" s="33"/>
      <x:c r="B301" s="33"/>
      <x:c r="C301" s="33"/>
      <x:c r="D301" s="33"/>
      <x:c r="E301" s="36"/>
      <x:c r="F301" s="36"/>
      <x:c r="G301" s="33"/>
      <x:c r="H301" s="33"/>
      <x:c r="I301" s="33"/>
      <x:c r="J301" s="33"/>
      <x:c r="K301" s="33"/>
      <x:c r="L301" s="33"/>
      <x:c r="M301" s="33"/>
      <x:c r="N301" s="37"/>
      <x:c r="O301" s="33"/>
      <x:c r="P301" s="33"/>
      <x:c r="Q301" s="33"/>
      <x:c r="R301" s="37"/>
      <x:c r="S301" s="33"/>
      <x:c r="T301" s="33"/>
      <x:c r="U301" s="33"/>
      <x:c r="V301" s="38"/>
      <x:c r="W301" s="34"/>
      <x:c r="X301" s="34"/>
      <x:c r="Y301" s="34"/>
      <x:c r="Z301" s="34"/>
      <x:c r="AA301" s="34"/>
      <x:c r="AB301" s="34"/>
      <x:c r="AC301" s="34"/>
      <x:c r="AD301" s="34"/>
      <x:c r="AE301" s="34"/>
      <x:c r="AF301" s="34"/>
      <x:c r="AG301" s="34"/>
      <x:c r="AH301" s="35" t="str">
        <x:f>IF(COUNTA(X301:AA301)&lt;4,"",ROUND((X301*20)*45%+(((Y301-1)/4*100)*30%+((Z301-1)/4*100)*25%+(1-(AA301-1)/4)*100*25%+(1-(MAX(1,AC301:AE301)-1)/4)*100*20%)*55%,0))</x:f>
      </x:c>
      <x:c r="AI301" s="35" t="str">
        <x:f>IF(AH301="","",IF(AH301&gt;=85,"Excelente",IF(AH301&gt;=70,"Adequado",IF(AH301&gt;=50,"Atenção","Crítico"))))</x:f>
      </x:c>
    </x:row>
    <x:row r="302">
      <x:c r="A302" s="33"/>
      <x:c r="B302" s="33"/>
      <x:c r="C302" s="33"/>
      <x:c r="D302" s="33"/>
      <x:c r="E302" s="36"/>
      <x:c r="F302" s="36"/>
      <x:c r="G302" s="33"/>
      <x:c r="H302" s="33"/>
      <x:c r="I302" s="33"/>
      <x:c r="J302" s="33"/>
      <x:c r="K302" s="33"/>
      <x:c r="L302" s="33"/>
      <x:c r="M302" s="33"/>
      <x:c r="N302" s="37"/>
      <x:c r="O302" s="33"/>
      <x:c r="P302" s="33"/>
      <x:c r="Q302" s="33"/>
      <x:c r="R302" s="37"/>
      <x:c r="S302" s="33"/>
      <x:c r="T302" s="33"/>
      <x:c r="U302" s="33"/>
      <x:c r="V302" s="38"/>
      <x:c r="W302" s="34"/>
      <x:c r="X302" s="34"/>
      <x:c r="Y302" s="34"/>
      <x:c r="Z302" s="34"/>
      <x:c r="AA302" s="34"/>
      <x:c r="AB302" s="34"/>
      <x:c r="AC302" s="34"/>
      <x:c r="AD302" s="34"/>
      <x:c r="AE302" s="34"/>
      <x:c r="AF302" s="34"/>
      <x:c r="AG302" s="34"/>
      <x:c r="AH302" s="35" t="str">
        <x:f>IF(COUNTA(X302:AA302)&lt;4,"",ROUND((X302*20)*45%+(((Y302-1)/4*100)*30%+((Z302-1)/4*100)*25%+(1-(AA302-1)/4)*100*25%+(1-(MAX(1,AC302:AE302)-1)/4)*100*20%)*55%,0))</x:f>
      </x:c>
      <x:c r="AI302" s="35" t="str">
        <x:f>IF(AH302="","",IF(AH302&gt;=85,"Excelente",IF(AH302&gt;=70,"Adequado",IF(AH302&gt;=50,"Atenção","Crítico"))))</x:f>
      </x:c>
    </x:row>
    <x:row r="303">
      <x:c r="A303" s="33"/>
      <x:c r="B303" s="33"/>
      <x:c r="C303" s="33"/>
      <x:c r="D303" s="33"/>
      <x:c r="E303" s="36"/>
      <x:c r="F303" s="36"/>
      <x:c r="G303" s="33"/>
      <x:c r="H303" s="33"/>
      <x:c r="I303" s="33"/>
      <x:c r="J303" s="33"/>
      <x:c r="K303" s="33"/>
      <x:c r="L303" s="33"/>
      <x:c r="M303" s="33"/>
      <x:c r="N303" s="37"/>
      <x:c r="O303" s="33"/>
      <x:c r="P303" s="33"/>
      <x:c r="Q303" s="33"/>
      <x:c r="R303" s="37"/>
      <x:c r="S303" s="33"/>
      <x:c r="T303" s="33"/>
      <x:c r="U303" s="33"/>
      <x:c r="V303" s="38"/>
      <x:c r="W303" s="34"/>
      <x:c r="X303" s="34"/>
      <x:c r="Y303" s="34"/>
      <x:c r="Z303" s="34"/>
      <x:c r="AA303" s="34"/>
      <x:c r="AB303" s="34"/>
      <x:c r="AC303" s="34"/>
      <x:c r="AD303" s="34"/>
      <x:c r="AE303" s="34"/>
      <x:c r="AF303" s="34"/>
      <x:c r="AG303" s="34"/>
      <x:c r="AH303" s="35" t="str">
        <x:f>IF(COUNTA(X303:AA303)&lt;4,"",ROUND((X303*20)*45%+(((Y303-1)/4*100)*30%+((Z303-1)/4*100)*25%+(1-(AA303-1)/4)*100*25%+(1-(MAX(1,AC303:AE303)-1)/4)*100*20%)*55%,0))</x:f>
      </x:c>
      <x:c r="AI303" s="35" t="str">
        <x:f>IF(AH303="","",IF(AH303&gt;=85,"Excelente",IF(AH303&gt;=70,"Adequado",IF(AH303&gt;=50,"Atenção","Crítico"))))</x:f>
      </x:c>
    </x:row>
    <x:row r="304">
      <x:c r="A304" s="33"/>
      <x:c r="B304" s="33"/>
      <x:c r="C304" s="33"/>
      <x:c r="D304" s="33"/>
      <x:c r="E304" s="36"/>
      <x:c r="F304" s="36"/>
      <x:c r="G304" s="33"/>
      <x:c r="H304" s="33"/>
      <x:c r="I304" s="33"/>
      <x:c r="J304" s="33"/>
      <x:c r="K304" s="33"/>
      <x:c r="L304" s="33"/>
      <x:c r="M304" s="33"/>
      <x:c r="N304" s="37"/>
      <x:c r="O304" s="33"/>
      <x:c r="P304" s="33"/>
      <x:c r="Q304" s="33"/>
      <x:c r="R304" s="37"/>
      <x:c r="S304" s="33"/>
      <x:c r="T304" s="33"/>
      <x:c r="U304" s="33"/>
      <x:c r="V304" s="38"/>
      <x:c r="W304" s="34"/>
      <x:c r="X304" s="34"/>
      <x:c r="Y304" s="34"/>
      <x:c r="Z304" s="34"/>
      <x:c r="AA304" s="34"/>
      <x:c r="AB304" s="34"/>
      <x:c r="AC304" s="34"/>
      <x:c r="AD304" s="34"/>
      <x:c r="AE304" s="34"/>
      <x:c r="AF304" s="34"/>
      <x:c r="AG304" s="34"/>
      <x:c r="AH304" s="35" t="str">
        <x:f>IF(COUNTA(X304:AA304)&lt;4,"",ROUND((X304*20)*45%+(((Y304-1)/4*100)*30%+((Z304-1)/4*100)*25%+(1-(AA304-1)/4)*100*25%+(1-(MAX(1,AC304:AE304)-1)/4)*100*20%)*55%,0))</x:f>
      </x:c>
      <x:c r="AI304" s="35" t="str">
        <x:f>IF(AH304="","",IF(AH304&gt;=85,"Excelente",IF(AH304&gt;=70,"Adequado",IF(AH304&gt;=50,"Atenção","Crítico"))))</x:f>
      </x:c>
    </x:row>
    <x:row r="305">
      <x:c r="A305" s="33"/>
      <x:c r="B305" s="33"/>
      <x:c r="C305" s="33"/>
      <x:c r="D305" s="33"/>
      <x:c r="E305" s="36"/>
      <x:c r="F305" s="36"/>
      <x:c r="G305" s="33"/>
      <x:c r="H305" s="33"/>
      <x:c r="I305" s="33"/>
      <x:c r="J305" s="33"/>
      <x:c r="K305" s="33"/>
      <x:c r="L305" s="33"/>
      <x:c r="M305" s="33"/>
      <x:c r="N305" s="37"/>
      <x:c r="O305" s="33"/>
      <x:c r="P305" s="33"/>
      <x:c r="Q305" s="33"/>
      <x:c r="R305" s="37"/>
      <x:c r="S305" s="33"/>
      <x:c r="T305" s="33"/>
      <x:c r="U305" s="33"/>
      <x:c r="V305" s="38"/>
      <x:c r="W305" s="34"/>
      <x:c r="X305" s="34"/>
      <x:c r="Y305" s="34"/>
      <x:c r="Z305" s="34"/>
      <x:c r="AA305" s="34"/>
      <x:c r="AB305" s="34"/>
      <x:c r="AC305" s="34"/>
      <x:c r="AD305" s="34"/>
      <x:c r="AE305" s="34"/>
      <x:c r="AF305" s="34"/>
      <x:c r="AG305" s="34"/>
      <x:c r="AH305" s="35" t="str">
        <x:f>IF(COUNTA(X305:AA305)&lt;4,"",ROUND((X305*20)*45%+(((Y305-1)/4*100)*30%+((Z305-1)/4*100)*25%+(1-(AA305-1)/4)*100*25%+(1-(MAX(1,AC305:AE305)-1)/4)*100*20%)*55%,0))</x:f>
      </x:c>
      <x:c r="AI305" s="35" t="str">
        <x:f>IF(AH305="","",IF(AH305&gt;=85,"Excelente",IF(AH305&gt;=70,"Adequado",IF(AH305&gt;=50,"Atenção","Crítico"))))</x:f>
      </x:c>
    </x:row>
    <x:row r="306">
      <x:c r="A306" s="33"/>
      <x:c r="B306" s="33"/>
      <x:c r="C306" s="33"/>
      <x:c r="D306" s="33"/>
      <x:c r="E306" s="36"/>
      <x:c r="F306" s="36"/>
      <x:c r="G306" s="33"/>
      <x:c r="H306" s="33"/>
      <x:c r="I306" s="33"/>
      <x:c r="J306" s="33"/>
      <x:c r="K306" s="33"/>
      <x:c r="L306" s="33"/>
      <x:c r="M306" s="33"/>
      <x:c r="N306" s="37"/>
      <x:c r="O306" s="33"/>
      <x:c r="P306" s="33"/>
      <x:c r="Q306" s="33"/>
      <x:c r="R306" s="37"/>
      <x:c r="S306" s="33"/>
      <x:c r="T306" s="33"/>
      <x:c r="U306" s="33"/>
      <x:c r="V306" s="38"/>
      <x:c r="W306" s="34"/>
      <x:c r="X306" s="34"/>
      <x:c r="Y306" s="34"/>
      <x:c r="Z306" s="34"/>
      <x:c r="AA306" s="34"/>
      <x:c r="AB306" s="34"/>
      <x:c r="AC306" s="34"/>
      <x:c r="AD306" s="34"/>
      <x:c r="AE306" s="34"/>
      <x:c r="AF306" s="34"/>
      <x:c r="AG306" s="34"/>
      <x:c r="AH306" s="35" t="str">
        <x:f>IF(COUNTA(X306:AA306)&lt;4,"",ROUND((X306*20)*45%+(((Y306-1)/4*100)*30%+((Z306-1)/4*100)*25%+(1-(AA306-1)/4)*100*25%+(1-(MAX(1,AC306:AE306)-1)/4)*100*20%)*55%,0))</x:f>
      </x:c>
      <x:c r="AI306" s="35" t="str">
        <x:f>IF(AH306="","",IF(AH306&gt;=85,"Excelente",IF(AH306&gt;=70,"Adequado",IF(AH306&gt;=50,"Atenção","Crítico"))))</x:f>
      </x:c>
    </x:row>
    <x:row r="307">
      <x:c r="A307" s="33"/>
      <x:c r="B307" s="33"/>
      <x:c r="C307" s="33"/>
      <x:c r="D307" s="33"/>
      <x:c r="E307" s="36"/>
      <x:c r="F307" s="36"/>
      <x:c r="G307" s="33"/>
      <x:c r="H307" s="33"/>
      <x:c r="I307" s="33"/>
      <x:c r="J307" s="33"/>
      <x:c r="K307" s="33"/>
      <x:c r="L307" s="33"/>
      <x:c r="M307" s="33"/>
      <x:c r="N307" s="37"/>
      <x:c r="O307" s="33"/>
      <x:c r="P307" s="33"/>
      <x:c r="Q307" s="33"/>
      <x:c r="R307" s="37"/>
      <x:c r="S307" s="33"/>
      <x:c r="T307" s="33"/>
      <x:c r="U307" s="33"/>
      <x:c r="V307" s="38"/>
      <x:c r="W307" s="34"/>
      <x:c r="X307" s="34"/>
      <x:c r="Y307" s="34"/>
      <x:c r="Z307" s="34"/>
      <x:c r="AA307" s="34"/>
      <x:c r="AB307" s="34"/>
      <x:c r="AC307" s="34"/>
      <x:c r="AD307" s="34"/>
      <x:c r="AE307" s="34"/>
      <x:c r="AF307" s="34"/>
      <x:c r="AG307" s="34"/>
      <x:c r="AH307" s="35" t="str">
        <x:f>IF(COUNTA(X307:AA307)&lt;4,"",ROUND((X307*20)*45%+(((Y307-1)/4*100)*30%+((Z307-1)/4*100)*25%+(1-(AA307-1)/4)*100*25%+(1-(MAX(1,AC307:AE307)-1)/4)*100*20%)*55%,0))</x:f>
      </x:c>
      <x:c r="AI307" s="35" t="str">
        <x:f>IF(AH307="","",IF(AH307&gt;=85,"Excelente",IF(AH307&gt;=70,"Adequado",IF(AH307&gt;=50,"Atenção","Crítico"))))</x:f>
      </x:c>
    </x:row>
    <x:row r="308">
      <x:c r="A308" s="33"/>
      <x:c r="B308" s="33"/>
      <x:c r="C308" s="33"/>
      <x:c r="D308" s="33"/>
      <x:c r="E308" s="36"/>
      <x:c r="F308" s="36"/>
      <x:c r="G308" s="33"/>
      <x:c r="H308" s="33"/>
      <x:c r="I308" s="33"/>
      <x:c r="J308" s="33"/>
      <x:c r="K308" s="33"/>
      <x:c r="L308" s="33"/>
      <x:c r="M308" s="33"/>
      <x:c r="N308" s="37"/>
      <x:c r="O308" s="33"/>
      <x:c r="P308" s="33"/>
      <x:c r="Q308" s="33"/>
      <x:c r="R308" s="37"/>
      <x:c r="S308" s="33"/>
      <x:c r="T308" s="33"/>
      <x:c r="U308" s="33"/>
      <x:c r="V308" s="38"/>
      <x:c r="W308" s="34"/>
      <x:c r="X308" s="34"/>
      <x:c r="Y308" s="34"/>
      <x:c r="Z308" s="34"/>
      <x:c r="AA308" s="34"/>
      <x:c r="AB308" s="34"/>
      <x:c r="AC308" s="34"/>
      <x:c r="AD308" s="34"/>
      <x:c r="AE308" s="34"/>
      <x:c r="AF308" s="34"/>
      <x:c r="AG308" s="34"/>
      <x:c r="AH308" s="35" t="str">
        <x:f>IF(COUNTA(X308:AA308)&lt;4,"",ROUND((X308*20)*45%+(((Y308-1)/4*100)*30%+((Z308-1)/4*100)*25%+(1-(AA308-1)/4)*100*25%+(1-(MAX(1,AC308:AE308)-1)/4)*100*20%)*55%,0))</x:f>
      </x:c>
      <x:c r="AI308" s="35" t="str">
        <x:f>IF(AH308="","",IF(AH308&gt;=85,"Excelente",IF(AH308&gt;=70,"Adequado",IF(AH308&gt;=50,"Atenção","Crítico"))))</x:f>
      </x:c>
    </x:row>
    <x:row r="309">
      <x:c r="A309" s="33"/>
      <x:c r="B309" s="33"/>
      <x:c r="C309" s="33"/>
      <x:c r="D309" s="33"/>
      <x:c r="E309" s="36"/>
      <x:c r="F309" s="36"/>
      <x:c r="G309" s="33"/>
      <x:c r="H309" s="33"/>
      <x:c r="I309" s="33"/>
      <x:c r="J309" s="33"/>
      <x:c r="K309" s="33"/>
      <x:c r="L309" s="33"/>
      <x:c r="M309" s="33"/>
      <x:c r="N309" s="37"/>
      <x:c r="O309" s="33"/>
      <x:c r="P309" s="33"/>
      <x:c r="Q309" s="33"/>
      <x:c r="R309" s="37"/>
      <x:c r="S309" s="33"/>
      <x:c r="T309" s="33"/>
      <x:c r="U309" s="33"/>
      <x:c r="V309" s="38"/>
      <x:c r="W309" s="34"/>
      <x:c r="X309" s="34"/>
      <x:c r="Y309" s="34"/>
      <x:c r="Z309" s="34"/>
      <x:c r="AA309" s="34"/>
      <x:c r="AB309" s="34"/>
      <x:c r="AC309" s="34"/>
      <x:c r="AD309" s="34"/>
      <x:c r="AE309" s="34"/>
      <x:c r="AF309" s="34"/>
      <x:c r="AG309" s="34"/>
      <x:c r="AH309" s="35" t="str">
        <x:f>IF(COUNTA(X309:AA309)&lt;4,"",ROUND((X309*20)*45%+(((Y309-1)/4*100)*30%+((Z309-1)/4*100)*25%+(1-(AA309-1)/4)*100*25%+(1-(MAX(1,AC309:AE309)-1)/4)*100*20%)*55%,0))</x:f>
      </x:c>
      <x:c r="AI309" s="35" t="str">
        <x:f>IF(AH309="","",IF(AH309&gt;=85,"Excelente",IF(AH309&gt;=70,"Adequado",IF(AH309&gt;=50,"Atenção","Crítico"))))</x:f>
      </x:c>
    </x:row>
    <x:row r="310">
      <x:c r="A310" s="33"/>
      <x:c r="B310" s="33"/>
      <x:c r="C310" s="33"/>
      <x:c r="D310" s="33"/>
      <x:c r="E310" s="36"/>
      <x:c r="F310" s="36"/>
      <x:c r="G310" s="33"/>
      <x:c r="H310" s="33"/>
      <x:c r="I310" s="33"/>
      <x:c r="J310" s="33"/>
      <x:c r="K310" s="33"/>
      <x:c r="L310" s="33"/>
      <x:c r="M310" s="33"/>
      <x:c r="N310" s="37"/>
      <x:c r="O310" s="33"/>
      <x:c r="P310" s="33"/>
      <x:c r="Q310" s="33"/>
      <x:c r="R310" s="37"/>
      <x:c r="S310" s="33"/>
      <x:c r="T310" s="33"/>
      <x:c r="U310" s="33"/>
      <x:c r="V310" s="38"/>
      <x:c r="W310" s="34"/>
      <x:c r="X310" s="34"/>
      <x:c r="Y310" s="34"/>
      <x:c r="Z310" s="34"/>
      <x:c r="AA310" s="34"/>
      <x:c r="AB310" s="34"/>
      <x:c r="AC310" s="34"/>
      <x:c r="AD310" s="34"/>
      <x:c r="AE310" s="34"/>
      <x:c r="AF310" s="34"/>
      <x:c r="AG310" s="34"/>
      <x:c r="AH310" s="35" t="str">
        <x:f>IF(COUNTA(X310:AA310)&lt;4,"",ROUND((X310*20)*45%+(((Y310-1)/4*100)*30%+((Z310-1)/4*100)*25%+(1-(AA310-1)/4)*100*25%+(1-(MAX(1,AC310:AE310)-1)/4)*100*20%)*55%,0))</x:f>
      </x:c>
      <x:c r="AI310" s="35" t="str">
        <x:f>IF(AH310="","",IF(AH310&gt;=85,"Excelente",IF(AH310&gt;=70,"Adequado",IF(AH310&gt;=50,"Atenção","Crítico"))))</x:f>
      </x:c>
    </x:row>
    <x:row r="311">
      <x:c r="A311" s="33"/>
      <x:c r="B311" s="33"/>
      <x:c r="C311" s="33"/>
      <x:c r="D311" s="33"/>
      <x:c r="E311" s="36"/>
      <x:c r="F311" s="36"/>
      <x:c r="G311" s="33"/>
      <x:c r="H311" s="33"/>
      <x:c r="I311" s="33"/>
      <x:c r="J311" s="33"/>
      <x:c r="K311" s="33"/>
      <x:c r="L311" s="33"/>
      <x:c r="M311" s="33"/>
      <x:c r="N311" s="37"/>
      <x:c r="O311" s="33"/>
      <x:c r="P311" s="33"/>
      <x:c r="Q311" s="33"/>
      <x:c r="R311" s="37"/>
      <x:c r="S311" s="33"/>
      <x:c r="T311" s="33"/>
      <x:c r="U311" s="33"/>
      <x:c r="V311" s="38"/>
      <x:c r="W311" s="34"/>
      <x:c r="X311" s="34"/>
      <x:c r="Y311" s="34"/>
      <x:c r="Z311" s="34"/>
      <x:c r="AA311" s="34"/>
      <x:c r="AB311" s="34"/>
      <x:c r="AC311" s="34"/>
      <x:c r="AD311" s="34"/>
      <x:c r="AE311" s="34"/>
      <x:c r="AF311" s="34"/>
      <x:c r="AG311" s="34"/>
      <x:c r="AH311" s="35" t="str">
        <x:f>IF(COUNTA(X311:AA311)&lt;4,"",ROUND((X311*20)*45%+(((Y311-1)/4*100)*30%+((Z311-1)/4*100)*25%+(1-(AA311-1)/4)*100*25%+(1-(MAX(1,AC311:AE311)-1)/4)*100*20%)*55%,0))</x:f>
      </x:c>
      <x:c r="AI311" s="35" t="str">
        <x:f>IF(AH311="","",IF(AH311&gt;=85,"Excelente",IF(AH311&gt;=70,"Adequado",IF(AH311&gt;=50,"Atenção","Crítico"))))</x:f>
      </x:c>
    </x:row>
    <x:row r="312">
      <x:c r="A312" s="33"/>
      <x:c r="B312" s="33"/>
      <x:c r="C312" s="33"/>
      <x:c r="D312" s="33"/>
      <x:c r="E312" s="36"/>
      <x:c r="F312" s="36"/>
      <x:c r="G312" s="33"/>
      <x:c r="H312" s="33"/>
      <x:c r="I312" s="33"/>
      <x:c r="J312" s="33"/>
      <x:c r="K312" s="33"/>
      <x:c r="L312" s="33"/>
      <x:c r="M312" s="33"/>
      <x:c r="N312" s="37"/>
      <x:c r="O312" s="33"/>
      <x:c r="P312" s="33"/>
      <x:c r="Q312" s="33"/>
      <x:c r="R312" s="37"/>
      <x:c r="S312" s="33"/>
      <x:c r="T312" s="33"/>
      <x:c r="U312" s="33"/>
      <x:c r="V312" s="38"/>
      <x:c r="W312" s="34"/>
      <x:c r="X312" s="34"/>
      <x:c r="Y312" s="34"/>
      <x:c r="Z312" s="34"/>
      <x:c r="AA312" s="34"/>
      <x:c r="AB312" s="34"/>
      <x:c r="AC312" s="34"/>
      <x:c r="AD312" s="34"/>
      <x:c r="AE312" s="34"/>
      <x:c r="AF312" s="34"/>
      <x:c r="AG312" s="34"/>
      <x:c r="AH312" s="35" t="str">
        <x:f>IF(COUNTA(X312:AA312)&lt;4,"",ROUND((X312*20)*45%+(((Y312-1)/4*100)*30%+((Z312-1)/4*100)*25%+(1-(AA312-1)/4)*100*25%+(1-(MAX(1,AC312:AE312)-1)/4)*100*20%)*55%,0))</x:f>
      </x:c>
      <x:c r="AI312" s="35" t="str">
        <x:f>IF(AH312="","",IF(AH312&gt;=85,"Excelente",IF(AH312&gt;=70,"Adequado",IF(AH312&gt;=50,"Atenção","Crítico"))))</x:f>
      </x:c>
    </x:row>
    <x:row r="313">
      <x:c r="A313" s="33"/>
      <x:c r="B313" s="33"/>
      <x:c r="C313" s="33"/>
      <x:c r="D313" s="33"/>
      <x:c r="E313" s="36"/>
      <x:c r="F313" s="36"/>
      <x:c r="G313" s="33"/>
      <x:c r="H313" s="33"/>
      <x:c r="I313" s="33"/>
      <x:c r="J313" s="33"/>
      <x:c r="K313" s="33"/>
      <x:c r="L313" s="33"/>
      <x:c r="M313" s="33"/>
      <x:c r="N313" s="37"/>
      <x:c r="O313" s="33"/>
      <x:c r="P313" s="33"/>
      <x:c r="Q313" s="33"/>
      <x:c r="R313" s="37"/>
      <x:c r="S313" s="33"/>
      <x:c r="T313" s="33"/>
      <x:c r="U313" s="33"/>
      <x:c r="V313" s="38"/>
      <x:c r="W313" s="34"/>
      <x:c r="X313" s="34"/>
      <x:c r="Y313" s="34"/>
      <x:c r="Z313" s="34"/>
      <x:c r="AA313" s="34"/>
      <x:c r="AB313" s="34"/>
      <x:c r="AC313" s="34"/>
      <x:c r="AD313" s="34"/>
      <x:c r="AE313" s="34"/>
      <x:c r="AF313" s="34"/>
      <x:c r="AG313" s="34"/>
      <x:c r="AH313" s="35" t="str">
        <x:f>IF(COUNTA(X313:AA313)&lt;4,"",ROUND((X313*20)*45%+(((Y313-1)/4*100)*30%+((Z313-1)/4*100)*25%+(1-(AA313-1)/4)*100*25%+(1-(MAX(1,AC313:AE313)-1)/4)*100*20%)*55%,0))</x:f>
      </x:c>
      <x:c r="AI313" s="35" t="str">
        <x:f>IF(AH313="","",IF(AH313&gt;=85,"Excelente",IF(AH313&gt;=70,"Adequado",IF(AH313&gt;=50,"Atenção","Crítico"))))</x:f>
      </x:c>
    </x:row>
    <x:row r="314">
      <x:c r="A314" s="33"/>
      <x:c r="B314" s="33"/>
      <x:c r="C314" s="33"/>
      <x:c r="D314" s="33"/>
      <x:c r="E314" s="36"/>
      <x:c r="F314" s="36"/>
      <x:c r="G314" s="33"/>
      <x:c r="H314" s="33"/>
      <x:c r="I314" s="33"/>
      <x:c r="J314" s="33"/>
      <x:c r="K314" s="33"/>
      <x:c r="L314" s="33"/>
      <x:c r="M314" s="33"/>
      <x:c r="N314" s="37"/>
      <x:c r="O314" s="33"/>
      <x:c r="P314" s="33"/>
      <x:c r="Q314" s="33"/>
      <x:c r="R314" s="37"/>
      <x:c r="S314" s="33"/>
      <x:c r="T314" s="33"/>
      <x:c r="U314" s="33"/>
      <x:c r="V314" s="38"/>
      <x:c r="W314" s="34"/>
      <x:c r="X314" s="34"/>
      <x:c r="Y314" s="34"/>
      <x:c r="Z314" s="34"/>
      <x:c r="AA314" s="34"/>
      <x:c r="AB314" s="34"/>
      <x:c r="AC314" s="34"/>
      <x:c r="AD314" s="34"/>
      <x:c r="AE314" s="34"/>
      <x:c r="AF314" s="34"/>
      <x:c r="AG314" s="34"/>
      <x:c r="AH314" s="35" t="str">
        <x:f>IF(COUNTA(X314:AA314)&lt;4,"",ROUND((X314*20)*45%+(((Y314-1)/4*100)*30%+((Z314-1)/4*100)*25%+(1-(AA314-1)/4)*100*25%+(1-(MAX(1,AC314:AE314)-1)/4)*100*20%)*55%,0))</x:f>
      </x:c>
      <x:c r="AI314" s="35" t="str">
        <x:f>IF(AH314="","",IF(AH314&gt;=85,"Excelente",IF(AH314&gt;=70,"Adequado",IF(AH314&gt;=50,"Atenção","Crítico"))))</x:f>
      </x:c>
    </x:row>
    <x:row r="315">
      <x:c r="A315" s="33"/>
      <x:c r="B315" s="33"/>
      <x:c r="C315" s="33"/>
      <x:c r="D315" s="33"/>
      <x:c r="E315" s="36"/>
      <x:c r="F315" s="36"/>
      <x:c r="G315" s="33"/>
      <x:c r="H315" s="33"/>
      <x:c r="I315" s="33"/>
      <x:c r="J315" s="33"/>
      <x:c r="K315" s="33"/>
      <x:c r="L315" s="33"/>
      <x:c r="M315" s="33"/>
      <x:c r="N315" s="37"/>
      <x:c r="O315" s="33"/>
      <x:c r="P315" s="33"/>
      <x:c r="Q315" s="33"/>
      <x:c r="R315" s="37"/>
      <x:c r="S315" s="33"/>
      <x:c r="T315" s="33"/>
      <x:c r="U315" s="33"/>
      <x:c r="V315" s="38"/>
      <x:c r="W315" s="34"/>
      <x:c r="X315" s="34"/>
      <x:c r="Y315" s="34"/>
      <x:c r="Z315" s="34"/>
      <x:c r="AA315" s="34"/>
      <x:c r="AB315" s="34"/>
      <x:c r="AC315" s="34"/>
      <x:c r="AD315" s="34"/>
      <x:c r="AE315" s="34"/>
      <x:c r="AF315" s="34"/>
      <x:c r="AG315" s="34"/>
      <x:c r="AH315" s="35" t="str">
        <x:f>IF(COUNTA(X315:AA315)&lt;4,"",ROUND((X315*20)*45%+(((Y315-1)/4*100)*30%+((Z315-1)/4*100)*25%+(1-(AA315-1)/4)*100*25%+(1-(MAX(1,AC315:AE315)-1)/4)*100*20%)*55%,0))</x:f>
      </x:c>
      <x:c r="AI315" s="35" t="str">
        <x:f>IF(AH315="","",IF(AH315&gt;=85,"Excelente",IF(AH315&gt;=70,"Adequado",IF(AH315&gt;=50,"Atenção","Crítico"))))</x:f>
      </x:c>
    </x:row>
    <x:row r="316">
      <x:c r="A316" s="33"/>
      <x:c r="B316" s="33"/>
      <x:c r="C316" s="33"/>
      <x:c r="D316" s="33"/>
      <x:c r="E316" s="36"/>
      <x:c r="F316" s="36"/>
      <x:c r="G316" s="33"/>
      <x:c r="H316" s="33"/>
      <x:c r="I316" s="33"/>
      <x:c r="J316" s="33"/>
      <x:c r="K316" s="33"/>
      <x:c r="L316" s="33"/>
      <x:c r="M316" s="33"/>
      <x:c r="N316" s="37"/>
      <x:c r="O316" s="33"/>
      <x:c r="P316" s="33"/>
      <x:c r="Q316" s="33"/>
      <x:c r="R316" s="37"/>
      <x:c r="S316" s="33"/>
      <x:c r="T316" s="33"/>
      <x:c r="U316" s="33"/>
      <x:c r="V316" s="38"/>
      <x:c r="W316" s="34"/>
      <x:c r="X316" s="34"/>
      <x:c r="Y316" s="34"/>
      <x:c r="Z316" s="34"/>
      <x:c r="AA316" s="34"/>
      <x:c r="AB316" s="34"/>
      <x:c r="AC316" s="34"/>
      <x:c r="AD316" s="34"/>
      <x:c r="AE316" s="34"/>
      <x:c r="AF316" s="34"/>
      <x:c r="AG316" s="34"/>
      <x:c r="AH316" s="35" t="str">
        <x:f>IF(COUNTA(X316:AA316)&lt;4,"",ROUND((X316*20)*45%+(((Y316-1)/4*100)*30%+((Z316-1)/4*100)*25%+(1-(AA316-1)/4)*100*25%+(1-(MAX(1,AC316:AE316)-1)/4)*100*20%)*55%,0))</x:f>
      </x:c>
      <x:c r="AI316" s="35" t="str">
        <x:f>IF(AH316="","",IF(AH316&gt;=85,"Excelente",IF(AH316&gt;=70,"Adequado",IF(AH316&gt;=50,"Atenção","Crítico"))))</x:f>
      </x:c>
    </x:row>
    <x:row r="317">
      <x:c r="A317" s="33"/>
      <x:c r="B317" s="33"/>
      <x:c r="C317" s="33"/>
      <x:c r="D317" s="33"/>
      <x:c r="E317" s="36"/>
      <x:c r="F317" s="36"/>
      <x:c r="G317" s="33"/>
      <x:c r="H317" s="33"/>
      <x:c r="I317" s="33"/>
      <x:c r="J317" s="33"/>
      <x:c r="K317" s="33"/>
      <x:c r="L317" s="33"/>
      <x:c r="M317" s="33"/>
      <x:c r="N317" s="37"/>
      <x:c r="O317" s="33"/>
      <x:c r="P317" s="33"/>
      <x:c r="Q317" s="33"/>
      <x:c r="R317" s="37"/>
      <x:c r="S317" s="33"/>
      <x:c r="T317" s="33"/>
      <x:c r="U317" s="33"/>
      <x:c r="V317" s="38"/>
      <x:c r="W317" s="34"/>
      <x:c r="X317" s="34"/>
      <x:c r="Y317" s="34"/>
      <x:c r="Z317" s="34"/>
      <x:c r="AA317" s="34"/>
      <x:c r="AB317" s="34"/>
      <x:c r="AC317" s="34"/>
      <x:c r="AD317" s="34"/>
      <x:c r="AE317" s="34"/>
      <x:c r="AF317" s="34"/>
      <x:c r="AG317" s="34"/>
      <x:c r="AH317" s="35" t="str">
        <x:f>IF(COUNTA(X317:AA317)&lt;4,"",ROUND((X317*20)*45%+(((Y317-1)/4*100)*30%+((Z317-1)/4*100)*25%+(1-(AA317-1)/4)*100*25%+(1-(MAX(1,AC317:AE317)-1)/4)*100*20%)*55%,0))</x:f>
      </x:c>
      <x:c r="AI317" s="35" t="str">
        <x:f>IF(AH317="","",IF(AH317&gt;=85,"Excelente",IF(AH317&gt;=70,"Adequado",IF(AH317&gt;=50,"Atenção","Crítico"))))</x:f>
      </x:c>
    </x:row>
    <x:row r="318">
      <x:c r="A318" s="33"/>
      <x:c r="B318" s="33"/>
      <x:c r="C318" s="33"/>
      <x:c r="D318" s="33"/>
      <x:c r="E318" s="36"/>
      <x:c r="F318" s="36"/>
      <x:c r="G318" s="33"/>
      <x:c r="H318" s="33"/>
      <x:c r="I318" s="33"/>
      <x:c r="J318" s="33"/>
      <x:c r="K318" s="33"/>
      <x:c r="L318" s="33"/>
      <x:c r="M318" s="33"/>
      <x:c r="N318" s="37"/>
      <x:c r="O318" s="33"/>
      <x:c r="P318" s="33"/>
      <x:c r="Q318" s="33"/>
      <x:c r="R318" s="37"/>
      <x:c r="S318" s="33"/>
      <x:c r="T318" s="33"/>
      <x:c r="U318" s="33"/>
      <x:c r="V318" s="38"/>
      <x:c r="W318" s="34"/>
      <x:c r="X318" s="34"/>
      <x:c r="Y318" s="34"/>
      <x:c r="Z318" s="34"/>
      <x:c r="AA318" s="34"/>
      <x:c r="AB318" s="34"/>
      <x:c r="AC318" s="34"/>
      <x:c r="AD318" s="34"/>
      <x:c r="AE318" s="34"/>
      <x:c r="AF318" s="34"/>
      <x:c r="AG318" s="34"/>
      <x:c r="AH318" s="35" t="str">
        <x:f>IF(COUNTA(X318:AA318)&lt;4,"",ROUND((X318*20)*45%+(((Y318-1)/4*100)*30%+((Z318-1)/4*100)*25%+(1-(AA318-1)/4)*100*25%+(1-(MAX(1,AC318:AE318)-1)/4)*100*20%)*55%,0))</x:f>
      </x:c>
      <x:c r="AI318" s="35" t="str">
        <x:f>IF(AH318="","",IF(AH318&gt;=85,"Excelente",IF(AH318&gt;=70,"Adequado",IF(AH318&gt;=50,"Atenção","Crítico"))))</x:f>
      </x:c>
    </x:row>
    <x:row r="319">
      <x:c r="A319" s="33"/>
      <x:c r="B319" s="33"/>
      <x:c r="C319" s="33"/>
      <x:c r="D319" s="33"/>
      <x:c r="E319" s="36"/>
      <x:c r="F319" s="36"/>
      <x:c r="G319" s="33"/>
      <x:c r="H319" s="33"/>
      <x:c r="I319" s="33"/>
      <x:c r="J319" s="33"/>
      <x:c r="K319" s="33"/>
      <x:c r="L319" s="33"/>
      <x:c r="M319" s="33"/>
      <x:c r="N319" s="37"/>
      <x:c r="O319" s="33"/>
      <x:c r="P319" s="33"/>
      <x:c r="Q319" s="33"/>
      <x:c r="R319" s="37"/>
      <x:c r="S319" s="33"/>
      <x:c r="T319" s="33"/>
      <x:c r="U319" s="33"/>
      <x:c r="V319" s="38"/>
      <x:c r="W319" s="34"/>
      <x:c r="X319" s="34"/>
      <x:c r="Y319" s="34"/>
      <x:c r="Z319" s="34"/>
      <x:c r="AA319" s="34"/>
      <x:c r="AB319" s="34"/>
      <x:c r="AC319" s="34"/>
      <x:c r="AD319" s="34"/>
      <x:c r="AE319" s="34"/>
      <x:c r="AF319" s="34"/>
      <x:c r="AG319" s="34"/>
      <x:c r="AH319" s="35" t="str">
        <x:f>IF(COUNTA(X319:AA319)&lt;4,"",ROUND((X319*20)*45%+(((Y319-1)/4*100)*30%+((Z319-1)/4*100)*25%+(1-(AA319-1)/4)*100*25%+(1-(MAX(1,AC319:AE319)-1)/4)*100*20%)*55%,0))</x:f>
      </x:c>
      <x:c r="AI319" s="35" t="str">
        <x:f>IF(AH319="","",IF(AH319&gt;=85,"Excelente",IF(AH319&gt;=70,"Adequado",IF(AH319&gt;=50,"Atenção","Crítico"))))</x:f>
      </x:c>
    </x:row>
    <x:row r="320">
      <x:c r="A320" s="33"/>
      <x:c r="B320" s="33"/>
      <x:c r="C320" s="33"/>
      <x:c r="D320" s="33"/>
      <x:c r="E320" s="36"/>
      <x:c r="F320" s="36"/>
      <x:c r="G320" s="33"/>
      <x:c r="H320" s="33"/>
      <x:c r="I320" s="33"/>
      <x:c r="J320" s="33"/>
      <x:c r="K320" s="33"/>
      <x:c r="L320" s="33"/>
      <x:c r="M320" s="33"/>
      <x:c r="N320" s="37"/>
      <x:c r="O320" s="33"/>
      <x:c r="P320" s="33"/>
      <x:c r="Q320" s="33"/>
      <x:c r="R320" s="37"/>
      <x:c r="S320" s="33"/>
      <x:c r="T320" s="33"/>
      <x:c r="U320" s="33"/>
      <x:c r="V320" s="38"/>
      <x:c r="W320" s="34"/>
      <x:c r="X320" s="34"/>
      <x:c r="Y320" s="34"/>
      <x:c r="Z320" s="34"/>
      <x:c r="AA320" s="34"/>
      <x:c r="AB320" s="34"/>
      <x:c r="AC320" s="34"/>
      <x:c r="AD320" s="34"/>
      <x:c r="AE320" s="34"/>
      <x:c r="AF320" s="34"/>
      <x:c r="AG320" s="34"/>
      <x:c r="AH320" s="35" t="str">
        <x:f>IF(COUNTA(X320:AA320)&lt;4,"",ROUND((X320*20)*45%+(((Y320-1)/4*100)*30%+((Z320-1)/4*100)*25%+(1-(AA320-1)/4)*100*25%+(1-(MAX(1,AC320:AE320)-1)/4)*100*20%)*55%,0))</x:f>
      </x:c>
      <x:c r="AI320" s="35" t="str">
        <x:f>IF(AH320="","",IF(AH320&gt;=85,"Excelente",IF(AH320&gt;=70,"Adequado",IF(AH320&gt;=50,"Atenção","Crítico"))))</x:f>
      </x:c>
    </x:row>
    <x:row r="321">
      <x:c r="A321" s="33"/>
      <x:c r="B321" s="33"/>
      <x:c r="C321" s="33"/>
      <x:c r="D321" s="33"/>
      <x:c r="E321" s="36"/>
      <x:c r="F321" s="36"/>
      <x:c r="G321" s="33"/>
      <x:c r="H321" s="33"/>
      <x:c r="I321" s="33"/>
      <x:c r="J321" s="33"/>
      <x:c r="K321" s="33"/>
      <x:c r="L321" s="33"/>
      <x:c r="M321" s="33"/>
      <x:c r="N321" s="37"/>
      <x:c r="O321" s="33"/>
      <x:c r="P321" s="33"/>
      <x:c r="Q321" s="33"/>
      <x:c r="R321" s="37"/>
      <x:c r="S321" s="33"/>
      <x:c r="T321" s="33"/>
      <x:c r="U321" s="33"/>
      <x:c r="V321" s="38"/>
      <x:c r="W321" s="34"/>
      <x:c r="X321" s="34"/>
      <x:c r="Y321" s="34"/>
      <x:c r="Z321" s="34"/>
      <x:c r="AA321" s="34"/>
      <x:c r="AB321" s="34"/>
      <x:c r="AC321" s="34"/>
      <x:c r="AD321" s="34"/>
      <x:c r="AE321" s="34"/>
      <x:c r="AF321" s="34"/>
      <x:c r="AG321" s="34"/>
      <x:c r="AH321" s="35" t="str">
        <x:f>IF(COUNTA(X321:AA321)&lt;4,"",ROUND((X321*20)*45%+(((Y321-1)/4*100)*30%+((Z321-1)/4*100)*25%+(1-(AA321-1)/4)*100*25%+(1-(MAX(1,AC321:AE321)-1)/4)*100*20%)*55%,0))</x:f>
      </x:c>
      <x:c r="AI321" s="35" t="str">
        <x:f>IF(AH321="","",IF(AH321&gt;=85,"Excelente",IF(AH321&gt;=70,"Adequado",IF(AH321&gt;=50,"Atenção","Crítico"))))</x:f>
      </x:c>
    </x:row>
    <x:row r="322">
      <x:c r="A322" s="33"/>
      <x:c r="B322" s="33"/>
      <x:c r="C322" s="33"/>
      <x:c r="D322" s="33"/>
      <x:c r="E322" s="36"/>
      <x:c r="F322" s="36"/>
      <x:c r="G322" s="33"/>
      <x:c r="H322" s="33"/>
      <x:c r="I322" s="33"/>
      <x:c r="J322" s="33"/>
      <x:c r="K322" s="33"/>
      <x:c r="L322" s="33"/>
      <x:c r="M322" s="33"/>
      <x:c r="N322" s="37"/>
      <x:c r="O322" s="33"/>
      <x:c r="P322" s="33"/>
      <x:c r="Q322" s="33"/>
      <x:c r="R322" s="37"/>
      <x:c r="S322" s="33"/>
      <x:c r="T322" s="33"/>
      <x:c r="U322" s="33"/>
      <x:c r="V322" s="38"/>
      <x:c r="W322" s="34"/>
      <x:c r="X322" s="34"/>
      <x:c r="Y322" s="34"/>
      <x:c r="Z322" s="34"/>
      <x:c r="AA322" s="34"/>
      <x:c r="AB322" s="34"/>
      <x:c r="AC322" s="34"/>
      <x:c r="AD322" s="34"/>
      <x:c r="AE322" s="34"/>
      <x:c r="AF322" s="34"/>
      <x:c r="AG322" s="34"/>
      <x:c r="AH322" s="35" t="str">
        <x:f>IF(COUNTA(X322:AA322)&lt;4,"",ROUND((X322*20)*45%+(((Y322-1)/4*100)*30%+((Z322-1)/4*100)*25%+(1-(AA322-1)/4)*100*25%+(1-(MAX(1,AC322:AE322)-1)/4)*100*20%)*55%,0))</x:f>
      </x:c>
      <x:c r="AI322" s="35" t="str">
        <x:f>IF(AH322="","",IF(AH322&gt;=85,"Excelente",IF(AH322&gt;=70,"Adequado",IF(AH322&gt;=50,"Atenção","Crítico"))))</x:f>
      </x:c>
    </x:row>
    <x:row r="323">
      <x:c r="A323" s="33"/>
      <x:c r="B323" s="33"/>
      <x:c r="C323" s="33"/>
      <x:c r="D323" s="33"/>
      <x:c r="E323" s="36"/>
      <x:c r="F323" s="36"/>
      <x:c r="G323" s="33"/>
      <x:c r="H323" s="33"/>
      <x:c r="I323" s="33"/>
      <x:c r="J323" s="33"/>
      <x:c r="K323" s="33"/>
      <x:c r="L323" s="33"/>
      <x:c r="M323" s="33"/>
      <x:c r="N323" s="37"/>
      <x:c r="O323" s="33"/>
      <x:c r="P323" s="33"/>
      <x:c r="Q323" s="33"/>
      <x:c r="R323" s="37"/>
      <x:c r="S323" s="33"/>
      <x:c r="T323" s="33"/>
      <x:c r="U323" s="33"/>
      <x:c r="V323" s="38"/>
      <x:c r="W323" s="34"/>
      <x:c r="X323" s="34"/>
      <x:c r="Y323" s="34"/>
      <x:c r="Z323" s="34"/>
      <x:c r="AA323" s="34"/>
      <x:c r="AB323" s="34"/>
      <x:c r="AC323" s="34"/>
      <x:c r="AD323" s="34"/>
      <x:c r="AE323" s="34"/>
      <x:c r="AF323" s="34"/>
      <x:c r="AG323" s="34"/>
      <x:c r="AH323" s="35" t="str">
        <x:f>IF(COUNTA(X323:AA323)&lt;4,"",ROUND((X323*20)*45%+(((Y323-1)/4*100)*30%+((Z323-1)/4*100)*25%+(1-(AA323-1)/4)*100*25%+(1-(MAX(1,AC323:AE323)-1)/4)*100*20%)*55%,0))</x:f>
      </x:c>
      <x:c r="AI323" s="35" t="str">
        <x:f>IF(AH323="","",IF(AH323&gt;=85,"Excelente",IF(AH323&gt;=70,"Adequado",IF(AH323&gt;=50,"Atenção","Crítico"))))</x:f>
      </x:c>
    </x:row>
    <x:row r="324">
      <x:c r="A324" s="33"/>
      <x:c r="B324" s="33"/>
      <x:c r="C324" s="33"/>
      <x:c r="D324" s="33"/>
      <x:c r="E324" s="36"/>
      <x:c r="F324" s="36"/>
      <x:c r="G324" s="33"/>
      <x:c r="H324" s="33"/>
      <x:c r="I324" s="33"/>
      <x:c r="J324" s="33"/>
      <x:c r="K324" s="33"/>
      <x:c r="L324" s="33"/>
      <x:c r="M324" s="33"/>
      <x:c r="N324" s="37"/>
      <x:c r="O324" s="33"/>
      <x:c r="P324" s="33"/>
      <x:c r="Q324" s="33"/>
      <x:c r="R324" s="37"/>
      <x:c r="S324" s="33"/>
      <x:c r="T324" s="33"/>
      <x:c r="U324" s="33"/>
      <x:c r="V324" s="38"/>
      <x:c r="W324" s="34"/>
      <x:c r="X324" s="34"/>
      <x:c r="Y324" s="34"/>
      <x:c r="Z324" s="34"/>
      <x:c r="AA324" s="34"/>
      <x:c r="AB324" s="34"/>
      <x:c r="AC324" s="34"/>
      <x:c r="AD324" s="34"/>
      <x:c r="AE324" s="34"/>
      <x:c r="AF324" s="34"/>
      <x:c r="AG324" s="34"/>
      <x:c r="AH324" s="35" t="str">
        <x:f>IF(COUNTA(X324:AA324)&lt;4,"",ROUND((X324*20)*45%+(((Y324-1)/4*100)*30%+((Z324-1)/4*100)*25%+(1-(AA324-1)/4)*100*25%+(1-(MAX(1,AC324:AE324)-1)/4)*100*20%)*55%,0))</x:f>
      </x:c>
      <x:c r="AI324" s="35" t="str">
        <x:f>IF(AH324="","",IF(AH324&gt;=85,"Excelente",IF(AH324&gt;=70,"Adequado",IF(AH324&gt;=50,"Atenção","Crítico"))))</x:f>
      </x:c>
    </x:row>
    <x:row r="325">
      <x:c r="A325" s="33"/>
      <x:c r="B325" s="33"/>
      <x:c r="C325" s="33"/>
      <x:c r="D325" s="33"/>
      <x:c r="E325" s="36"/>
      <x:c r="F325" s="36"/>
      <x:c r="G325" s="33"/>
      <x:c r="H325" s="33"/>
      <x:c r="I325" s="33"/>
      <x:c r="J325" s="33"/>
      <x:c r="K325" s="33"/>
      <x:c r="L325" s="33"/>
      <x:c r="M325" s="33"/>
      <x:c r="N325" s="37"/>
      <x:c r="O325" s="33"/>
      <x:c r="P325" s="33"/>
      <x:c r="Q325" s="33"/>
      <x:c r="R325" s="37"/>
      <x:c r="S325" s="33"/>
      <x:c r="T325" s="33"/>
      <x:c r="U325" s="33"/>
      <x:c r="V325" s="38"/>
      <x:c r="W325" s="34"/>
      <x:c r="X325" s="34"/>
      <x:c r="Y325" s="34"/>
      <x:c r="Z325" s="34"/>
      <x:c r="AA325" s="34"/>
      <x:c r="AB325" s="34"/>
      <x:c r="AC325" s="34"/>
      <x:c r="AD325" s="34"/>
      <x:c r="AE325" s="34"/>
      <x:c r="AF325" s="34"/>
      <x:c r="AG325" s="34"/>
      <x:c r="AH325" s="35" t="str">
        <x:f>IF(COUNTA(X325:AA325)&lt;4,"",ROUND((X325*20)*45%+(((Y325-1)/4*100)*30%+((Z325-1)/4*100)*25%+(1-(AA325-1)/4)*100*25%+(1-(MAX(1,AC325:AE325)-1)/4)*100*20%)*55%,0))</x:f>
      </x:c>
      <x:c r="AI325" s="35" t="str">
        <x:f>IF(AH325="","",IF(AH325&gt;=85,"Excelente",IF(AH325&gt;=70,"Adequado",IF(AH325&gt;=50,"Atenção","Crítico"))))</x:f>
      </x:c>
    </x:row>
    <x:row r="326">
      <x:c r="A326" s="33"/>
      <x:c r="B326" s="33"/>
      <x:c r="C326" s="33"/>
      <x:c r="D326" s="33"/>
      <x:c r="E326" s="36"/>
      <x:c r="F326" s="36"/>
      <x:c r="G326" s="33"/>
      <x:c r="H326" s="33"/>
      <x:c r="I326" s="33"/>
      <x:c r="J326" s="33"/>
      <x:c r="K326" s="33"/>
      <x:c r="L326" s="33"/>
      <x:c r="M326" s="33"/>
      <x:c r="N326" s="37"/>
      <x:c r="O326" s="33"/>
      <x:c r="P326" s="33"/>
      <x:c r="Q326" s="33"/>
      <x:c r="R326" s="37"/>
      <x:c r="S326" s="33"/>
      <x:c r="T326" s="33"/>
      <x:c r="U326" s="33"/>
      <x:c r="V326" s="38"/>
      <x:c r="W326" s="34"/>
      <x:c r="X326" s="34"/>
      <x:c r="Y326" s="34"/>
      <x:c r="Z326" s="34"/>
      <x:c r="AA326" s="34"/>
      <x:c r="AB326" s="34"/>
      <x:c r="AC326" s="34"/>
      <x:c r="AD326" s="34"/>
      <x:c r="AE326" s="34"/>
      <x:c r="AF326" s="34"/>
      <x:c r="AG326" s="34"/>
      <x:c r="AH326" s="35" t="str">
        <x:f>IF(COUNTA(X326:AA326)&lt;4,"",ROUND((X326*20)*45%+(((Y326-1)/4*100)*30%+((Z326-1)/4*100)*25%+(1-(AA326-1)/4)*100*25%+(1-(MAX(1,AC326:AE326)-1)/4)*100*20%)*55%,0))</x:f>
      </x:c>
      <x:c r="AI326" s="35" t="str">
        <x:f>IF(AH326="","",IF(AH326&gt;=85,"Excelente",IF(AH326&gt;=70,"Adequado",IF(AH326&gt;=50,"Atenção","Crítico"))))</x:f>
      </x:c>
    </x:row>
    <x:row r="327">
      <x:c r="A327" s="33"/>
      <x:c r="B327" s="33"/>
      <x:c r="C327" s="33"/>
      <x:c r="D327" s="33"/>
      <x:c r="E327" s="36"/>
      <x:c r="F327" s="36"/>
      <x:c r="G327" s="33"/>
      <x:c r="H327" s="33"/>
      <x:c r="I327" s="33"/>
      <x:c r="J327" s="33"/>
      <x:c r="K327" s="33"/>
      <x:c r="L327" s="33"/>
      <x:c r="M327" s="33"/>
      <x:c r="N327" s="37"/>
      <x:c r="O327" s="33"/>
      <x:c r="P327" s="33"/>
      <x:c r="Q327" s="33"/>
      <x:c r="R327" s="37"/>
      <x:c r="S327" s="33"/>
      <x:c r="T327" s="33"/>
      <x:c r="U327" s="33"/>
      <x:c r="V327" s="38"/>
      <x:c r="W327" s="34"/>
      <x:c r="X327" s="34"/>
      <x:c r="Y327" s="34"/>
      <x:c r="Z327" s="34"/>
      <x:c r="AA327" s="34"/>
      <x:c r="AB327" s="34"/>
      <x:c r="AC327" s="34"/>
      <x:c r="AD327" s="34"/>
      <x:c r="AE327" s="34"/>
      <x:c r="AF327" s="34"/>
      <x:c r="AG327" s="34"/>
      <x:c r="AH327" s="35" t="str">
        <x:f>IF(COUNTA(X327:AA327)&lt;4,"",ROUND((X327*20)*45%+(((Y327-1)/4*100)*30%+((Z327-1)/4*100)*25%+(1-(AA327-1)/4)*100*25%+(1-(MAX(1,AC327:AE327)-1)/4)*100*20%)*55%,0))</x:f>
      </x:c>
      <x:c r="AI327" s="35" t="str">
        <x:f>IF(AH327="","",IF(AH327&gt;=85,"Excelente",IF(AH327&gt;=70,"Adequado",IF(AH327&gt;=50,"Atenção","Crítico"))))</x:f>
      </x:c>
    </x:row>
    <x:row r="328">
      <x:c r="A328" s="33"/>
      <x:c r="B328" s="33"/>
      <x:c r="C328" s="33"/>
      <x:c r="D328" s="33"/>
      <x:c r="E328" s="36"/>
      <x:c r="F328" s="36"/>
      <x:c r="G328" s="33"/>
      <x:c r="H328" s="33"/>
      <x:c r="I328" s="33"/>
      <x:c r="J328" s="33"/>
      <x:c r="K328" s="33"/>
      <x:c r="L328" s="33"/>
      <x:c r="M328" s="33"/>
      <x:c r="N328" s="37"/>
      <x:c r="O328" s="33"/>
      <x:c r="P328" s="33"/>
      <x:c r="Q328" s="33"/>
      <x:c r="R328" s="37"/>
      <x:c r="S328" s="33"/>
      <x:c r="T328" s="33"/>
      <x:c r="U328" s="33"/>
      <x:c r="V328" s="38"/>
      <x:c r="W328" s="34"/>
      <x:c r="X328" s="34"/>
      <x:c r="Y328" s="34"/>
      <x:c r="Z328" s="34"/>
      <x:c r="AA328" s="34"/>
      <x:c r="AB328" s="34"/>
      <x:c r="AC328" s="34"/>
      <x:c r="AD328" s="34"/>
      <x:c r="AE328" s="34"/>
      <x:c r="AF328" s="34"/>
      <x:c r="AG328" s="34"/>
      <x:c r="AH328" s="35" t="str">
        <x:f>IF(COUNTA(X328:AA328)&lt;4,"",ROUND((X328*20)*45%+(((Y328-1)/4*100)*30%+((Z328-1)/4*100)*25%+(1-(AA328-1)/4)*100*25%+(1-(MAX(1,AC328:AE328)-1)/4)*100*20%)*55%,0))</x:f>
      </x:c>
      <x:c r="AI328" s="35" t="str">
        <x:f>IF(AH328="","",IF(AH328&gt;=85,"Excelente",IF(AH328&gt;=70,"Adequado",IF(AH328&gt;=50,"Atenção","Crítico"))))</x:f>
      </x:c>
    </x:row>
    <x:row r="329">
      <x:c r="A329" s="33"/>
      <x:c r="B329" s="33"/>
      <x:c r="C329" s="33"/>
      <x:c r="D329" s="33"/>
      <x:c r="E329" s="36"/>
      <x:c r="F329" s="36"/>
      <x:c r="G329" s="33"/>
      <x:c r="H329" s="33"/>
      <x:c r="I329" s="33"/>
      <x:c r="J329" s="33"/>
      <x:c r="K329" s="33"/>
      <x:c r="L329" s="33"/>
      <x:c r="M329" s="33"/>
      <x:c r="N329" s="37"/>
      <x:c r="O329" s="33"/>
      <x:c r="P329" s="33"/>
      <x:c r="Q329" s="33"/>
      <x:c r="R329" s="37"/>
      <x:c r="S329" s="33"/>
      <x:c r="T329" s="33"/>
      <x:c r="U329" s="33"/>
      <x:c r="V329" s="38"/>
      <x:c r="W329" s="34"/>
      <x:c r="X329" s="34"/>
      <x:c r="Y329" s="34"/>
      <x:c r="Z329" s="34"/>
      <x:c r="AA329" s="34"/>
      <x:c r="AB329" s="34"/>
      <x:c r="AC329" s="34"/>
      <x:c r="AD329" s="34"/>
      <x:c r="AE329" s="34"/>
      <x:c r="AF329" s="34"/>
      <x:c r="AG329" s="34"/>
      <x:c r="AH329" s="35" t="str">
        <x:f>IF(COUNTA(X329:AA329)&lt;4,"",ROUND((X329*20)*45%+(((Y329-1)/4*100)*30%+((Z329-1)/4*100)*25%+(1-(AA329-1)/4)*100*25%+(1-(MAX(1,AC329:AE329)-1)/4)*100*20%)*55%,0))</x:f>
      </x:c>
      <x:c r="AI329" s="35" t="str">
        <x:f>IF(AH329="","",IF(AH329&gt;=85,"Excelente",IF(AH329&gt;=70,"Adequado",IF(AH329&gt;=50,"Atenção","Crítico"))))</x:f>
      </x:c>
    </x:row>
    <x:row r="330">
      <x:c r="A330" s="33"/>
      <x:c r="B330" s="33"/>
      <x:c r="C330" s="33"/>
      <x:c r="D330" s="33"/>
      <x:c r="E330" s="36"/>
      <x:c r="F330" s="36"/>
      <x:c r="G330" s="33"/>
      <x:c r="H330" s="33"/>
      <x:c r="I330" s="33"/>
      <x:c r="J330" s="33"/>
      <x:c r="K330" s="33"/>
      <x:c r="L330" s="33"/>
      <x:c r="M330" s="33"/>
      <x:c r="N330" s="37"/>
      <x:c r="O330" s="33"/>
      <x:c r="P330" s="33"/>
      <x:c r="Q330" s="33"/>
      <x:c r="R330" s="37"/>
      <x:c r="S330" s="33"/>
      <x:c r="T330" s="33"/>
      <x:c r="U330" s="33"/>
      <x:c r="V330" s="38"/>
      <x:c r="W330" s="34"/>
      <x:c r="X330" s="34"/>
      <x:c r="Y330" s="34"/>
      <x:c r="Z330" s="34"/>
      <x:c r="AA330" s="34"/>
      <x:c r="AB330" s="34"/>
      <x:c r="AC330" s="34"/>
      <x:c r="AD330" s="34"/>
      <x:c r="AE330" s="34"/>
      <x:c r="AF330" s="34"/>
      <x:c r="AG330" s="34"/>
      <x:c r="AH330" s="35" t="str">
        <x:f>IF(COUNTA(X330:AA330)&lt;4,"",ROUND((X330*20)*45%+(((Y330-1)/4*100)*30%+((Z330-1)/4*100)*25%+(1-(AA330-1)/4)*100*25%+(1-(MAX(1,AC330:AE330)-1)/4)*100*20%)*55%,0))</x:f>
      </x:c>
      <x:c r="AI330" s="35" t="str">
        <x:f>IF(AH330="","",IF(AH330&gt;=85,"Excelente",IF(AH330&gt;=70,"Adequado",IF(AH330&gt;=50,"Atenção","Crítico"))))</x:f>
      </x:c>
    </x:row>
    <x:row r="331">
      <x:c r="A331" s="33"/>
      <x:c r="B331" s="33"/>
      <x:c r="C331" s="33"/>
      <x:c r="D331" s="33"/>
      <x:c r="E331" s="36"/>
      <x:c r="F331" s="36"/>
      <x:c r="G331" s="33"/>
      <x:c r="H331" s="33"/>
      <x:c r="I331" s="33"/>
      <x:c r="J331" s="33"/>
      <x:c r="K331" s="33"/>
      <x:c r="L331" s="33"/>
      <x:c r="M331" s="33"/>
      <x:c r="N331" s="37"/>
      <x:c r="O331" s="33"/>
      <x:c r="P331" s="33"/>
      <x:c r="Q331" s="33"/>
      <x:c r="R331" s="37"/>
      <x:c r="S331" s="33"/>
      <x:c r="T331" s="33"/>
      <x:c r="U331" s="33"/>
      <x:c r="V331" s="38"/>
      <x:c r="W331" s="34"/>
      <x:c r="X331" s="34"/>
      <x:c r="Y331" s="34"/>
      <x:c r="Z331" s="34"/>
      <x:c r="AA331" s="34"/>
      <x:c r="AB331" s="34"/>
      <x:c r="AC331" s="34"/>
      <x:c r="AD331" s="34"/>
      <x:c r="AE331" s="34"/>
      <x:c r="AF331" s="34"/>
      <x:c r="AG331" s="34"/>
      <x:c r="AH331" s="35" t="str">
        <x:f>IF(COUNTA(X331:AA331)&lt;4,"",ROUND((X331*20)*45%+(((Y331-1)/4*100)*30%+((Z331-1)/4*100)*25%+(1-(AA331-1)/4)*100*25%+(1-(MAX(1,AC331:AE331)-1)/4)*100*20%)*55%,0))</x:f>
      </x:c>
      <x:c r="AI331" s="35" t="str">
        <x:f>IF(AH331="","",IF(AH331&gt;=85,"Excelente",IF(AH331&gt;=70,"Adequado",IF(AH331&gt;=50,"Atenção","Crítico"))))</x:f>
      </x:c>
    </x:row>
    <x:row r="332">
      <x:c r="A332" s="33"/>
      <x:c r="B332" s="33"/>
      <x:c r="C332" s="33"/>
      <x:c r="D332" s="33"/>
      <x:c r="E332" s="36"/>
      <x:c r="F332" s="36"/>
      <x:c r="G332" s="33"/>
      <x:c r="H332" s="33"/>
      <x:c r="I332" s="33"/>
      <x:c r="J332" s="33"/>
      <x:c r="K332" s="33"/>
      <x:c r="L332" s="33"/>
      <x:c r="M332" s="33"/>
      <x:c r="N332" s="37"/>
      <x:c r="O332" s="33"/>
      <x:c r="P332" s="33"/>
      <x:c r="Q332" s="33"/>
      <x:c r="R332" s="37"/>
      <x:c r="S332" s="33"/>
      <x:c r="T332" s="33"/>
      <x:c r="U332" s="33"/>
      <x:c r="V332" s="38"/>
      <x:c r="W332" s="34"/>
      <x:c r="X332" s="34"/>
      <x:c r="Y332" s="34"/>
      <x:c r="Z332" s="34"/>
      <x:c r="AA332" s="34"/>
      <x:c r="AB332" s="34"/>
      <x:c r="AC332" s="34"/>
      <x:c r="AD332" s="34"/>
      <x:c r="AE332" s="34"/>
      <x:c r="AF332" s="34"/>
      <x:c r="AG332" s="34"/>
      <x:c r="AH332" s="35" t="str">
        <x:f>IF(COUNTA(X332:AA332)&lt;4,"",ROUND((X332*20)*45%+(((Y332-1)/4*100)*30%+((Z332-1)/4*100)*25%+(1-(AA332-1)/4)*100*25%+(1-(MAX(1,AC332:AE332)-1)/4)*100*20%)*55%,0))</x:f>
      </x:c>
      <x:c r="AI332" s="35" t="str">
        <x:f>IF(AH332="","",IF(AH332&gt;=85,"Excelente",IF(AH332&gt;=70,"Adequado",IF(AH332&gt;=50,"Atenção","Crítico"))))</x:f>
      </x:c>
    </x:row>
    <x:row r="333">
      <x:c r="A333" s="33"/>
      <x:c r="B333" s="33"/>
      <x:c r="C333" s="33"/>
      <x:c r="D333" s="33"/>
      <x:c r="E333" s="36"/>
      <x:c r="F333" s="36"/>
      <x:c r="G333" s="33"/>
      <x:c r="H333" s="33"/>
      <x:c r="I333" s="33"/>
      <x:c r="J333" s="33"/>
      <x:c r="K333" s="33"/>
      <x:c r="L333" s="33"/>
      <x:c r="M333" s="33"/>
      <x:c r="N333" s="37"/>
      <x:c r="O333" s="33"/>
      <x:c r="P333" s="33"/>
      <x:c r="Q333" s="33"/>
      <x:c r="R333" s="37"/>
      <x:c r="S333" s="33"/>
      <x:c r="T333" s="33"/>
      <x:c r="U333" s="33"/>
      <x:c r="V333" s="38"/>
      <x:c r="W333" s="34"/>
      <x:c r="X333" s="34"/>
      <x:c r="Y333" s="34"/>
      <x:c r="Z333" s="34"/>
      <x:c r="AA333" s="34"/>
      <x:c r="AB333" s="34"/>
      <x:c r="AC333" s="34"/>
      <x:c r="AD333" s="34"/>
      <x:c r="AE333" s="34"/>
      <x:c r="AF333" s="34"/>
      <x:c r="AG333" s="34"/>
      <x:c r="AH333" s="35" t="str">
        <x:f>IF(COUNTA(X333:AA333)&lt;4,"",ROUND((X333*20)*45%+(((Y333-1)/4*100)*30%+((Z333-1)/4*100)*25%+(1-(AA333-1)/4)*100*25%+(1-(MAX(1,AC333:AE333)-1)/4)*100*20%)*55%,0))</x:f>
      </x:c>
      <x:c r="AI333" s="35" t="str">
        <x:f>IF(AH333="","",IF(AH333&gt;=85,"Excelente",IF(AH333&gt;=70,"Adequado",IF(AH333&gt;=50,"Atenção","Crítico"))))</x:f>
      </x:c>
    </x:row>
    <x:row r="334">
      <x:c r="A334" s="33"/>
      <x:c r="B334" s="33"/>
      <x:c r="C334" s="33"/>
      <x:c r="D334" s="33"/>
      <x:c r="E334" s="36"/>
      <x:c r="F334" s="36"/>
      <x:c r="G334" s="33"/>
      <x:c r="H334" s="33"/>
      <x:c r="I334" s="33"/>
      <x:c r="J334" s="33"/>
      <x:c r="K334" s="33"/>
      <x:c r="L334" s="33"/>
      <x:c r="M334" s="33"/>
      <x:c r="N334" s="37"/>
      <x:c r="O334" s="33"/>
      <x:c r="P334" s="33"/>
      <x:c r="Q334" s="33"/>
      <x:c r="R334" s="37"/>
      <x:c r="S334" s="33"/>
      <x:c r="T334" s="33"/>
      <x:c r="U334" s="33"/>
      <x:c r="V334" s="38"/>
      <x:c r="W334" s="34"/>
      <x:c r="X334" s="34"/>
      <x:c r="Y334" s="34"/>
      <x:c r="Z334" s="34"/>
      <x:c r="AA334" s="34"/>
      <x:c r="AB334" s="34"/>
      <x:c r="AC334" s="34"/>
      <x:c r="AD334" s="34"/>
      <x:c r="AE334" s="34"/>
      <x:c r="AF334" s="34"/>
      <x:c r="AG334" s="34"/>
      <x:c r="AH334" s="35" t="str">
        <x:f>IF(COUNTA(X334:AA334)&lt;4,"",ROUND((X334*20)*45%+(((Y334-1)/4*100)*30%+((Z334-1)/4*100)*25%+(1-(AA334-1)/4)*100*25%+(1-(MAX(1,AC334:AE334)-1)/4)*100*20%)*55%,0))</x:f>
      </x:c>
      <x:c r="AI334" s="35" t="str">
        <x:f>IF(AH334="","",IF(AH334&gt;=85,"Excelente",IF(AH334&gt;=70,"Adequado",IF(AH334&gt;=50,"Atenção","Crítico"))))</x:f>
      </x:c>
    </x:row>
    <x:row r="335">
      <x:c r="A335" s="33"/>
      <x:c r="B335" s="33"/>
      <x:c r="C335" s="33"/>
      <x:c r="D335" s="33"/>
      <x:c r="E335" s="36"/>
      <x:c r="F335" s="36"/>
      <x:c r="G335" s="33"/>
      <x:c r="H335" s="33"/>
      <x:c r="I335" s="33"/>
      <x:c r="J335" s="33"/>
      <x:c r="K335" s="33"/>
      <x:c r="L335" s="33"/>
      <x:c r="M335" s="33"/>
      <x:c r="N335" s="37"/>
      <x:c r="O335" s="33"/>
      <x:c r="P335" s="33"/>
      <x:c r="Q335" s="33"/>
      <x:c r="R335" s="37"/>
      <x:c r="S335" s="33"/>
      <x:c r="T335" s="33"/>
      <x:c r="U335" s="33"/>
      <x:c r="V335" s="38"/>
      <x:c r="W335" s="34"/>
      <x:c r="X335" s="34"/>
      <x:c r="Y335" s="34"/>
      <x:c r="Z335" s="34"/>
      <x:c r="AA335" s="34"/>
      <x:c r="AB335" s="34"/>
      <x:c r="AC335" s="34"/>
      <x:c r="AD335" s="34"/>
      <x:c r="AE335" s="34"/>
      <x:c r="AF335" s="34"/>
      <x:c r="AG335" s="34"/>
      <x:c r="AH335" s="35" t="str">
        <x:f>IF(COUNTA(X335:AA335)&lt;4,"",ROUND((X335*20)*45%+(((Y335-1)/4*100)*30%+((Z335-1)/4*100)*25%+(1-(AA335-1)/4)*100*25%+(1-(MAX(1,AC335:AE335)-1)/4)*100*20%)*55%,0))</x:f>
      </x:c>
      <x:c r="AI335" s="35" t="str">
        <x:f>IF(AH335="","",IF(AH335&gt;=85,"Excelente",IF(AH335&gt;=70,"Adequado",IF(AH335&gt;=50,"Atenção","Crítico"))))</x:f>
      </x:c>
    </x:row>
    <x:row r="336">
      <x:c r="A336" s="33"/>
      <x:c r="B336" s="33"/>
      <x:c r="C336" s="33"/>
      <x:c r="D336" s="33"/>
      <x:c r="E336" s="36"/>
      <x:c r="F336" s="36"/>
      <x:c r="G336" s="33"/>
      <x:c r="H336" s="33"/>
      <x:c r="I336" s="33"/>
      <x:c r="J336" s="33"/>
      <x:c r="K336" s="33"/>
      <x:c r="L336" s="33"/>
      <x:c r="M336" s="33"/>
      <x:c r="N336" s="37"/>
      <x:c r="O336" s="33"/>
      <x:c r="P336" s="33"/>
      <x:c r="Q336" s="33"/>
      <x:c r="R336" s="37"/>
      <x:c r="S336" s="33"/>
      <x:c r="T336" s="33"/>
      <x:c r="U336" s="33"/>
      <x:c r="V336" s="38"/>
      <x:c r="W336" s="34"/>
      <x:c r="X336" s="34"/>
      <x:c r="Y336" s="34"/>
      <x:c r="Z336" s="34"/>
      <x:c r="AA336" s="34"/>
      <x:c r="AB336" s="34"/>
      <x:c r="AC336" s="34"/>
      <x:c r="AD336" s="34"/>
      <x:c r="AE336" s="34"/>
      <x:c r="AF336" s="34"/>
      <x:c r="AG336" s="34"/>
      <x:c r="AH336" s="35" t="str">
        <x:f>IF(COUNTA(X336:AA336)&lt;4,"",ROUND((X336*20)*45%+(((Y336-1)/4*100)*30%+((Z336-1)/4*100)*25%+(1-(AA336-1)/4)*100*25%+(1-(MAX(1,AC336:AE336)-1)/4)*100*20%)*55%,0))</x:f>
      </x:c>
      <x:c r="AI336" s="35" t="str">
        <x:f>IF(AH336="","",IF(AH336&gt;=85,"Excelente",IF(AH336&gt;=70,"Adequado",IF(AH336&gt;=50,"Atenção","Crítico"))))</x:f>
      </x:c>
    </x:row>
    <x:row r="337">
      <x:c r="A337" s="33"/>
      <x:c r="B337" s="33"/>
      <x:c r="C337" s="33"/>
      <x:c r="D337" s="33"/>
      <x:c r="E337" s="36"/>
      <x:c r="F337" s="36"/>
      <x:c r="G337" s="33"/>
      <x:c r="H337" s="33"/>
      <x:c r="I337" s="33"/>
      <x:c r="J337" s="33"/>
      <x:c r="K337" s="33"/>
      <x:c r="L337" s="33"/>
      <x:c r="M337" s="33"/>
      <x:c r="N337" s="37"/>
      <x:c r="O337" s="33"/>
      <x:c r="P337" s="33"/>
      <x:c r="Q337" s="33"/>
      <x:c r="R337" s="37"/>
      <x:c r="S337" s="33"/>
      <x:c r="T337" s="33"/>
      <x:c r="U337" s="33"/>
      <x:c r="V337" s="38"/>
      <x:c r="W337" s="34"/>
      <x:c r="X337" s="34"/>
      <x:c r="Y337" s="34"/>
      <x:c r="Z337" s="34"/>
      <x:c r="AA337" s="34"/>
      <x:c r="AB337" s="34"/>
      <x:c r="AC337" s="34"/>
      <x:c r="AD337" s="34"/>
      <x:c r="AE337" s="34"/>
      <x:c r="AF337" s="34"/>
      <x:c r="AG337" s="34"/>
      <x:c r="AH337" s="35" t="str">
        <x:f>IF(COUNTA(X337:AA337)&lt;4,"",ROUND((X337*20)*45%+(((Y337-1)/4*100)*30%+((Z337-1)/4*100)*25%+(1-(AA337-1)/4)*100*25%+(1-(MAX(1,AC337:AE337)-1)/4)*100*20%)*55%,0))</x:f>
      </x:c>
      <x:c r="AI337" s="35" t="str">
        <x:f>IF(AH337="","",IF(AH337&gt;=85,"Excelente",IF(AH337&gt;=70,"Adequado",IF(AH337&gt;=50,"Atenção","Crítico"))))</x:f>
      </x:c>
    </x:row>
    <x:row r="338">
      <x:c r="A338" s="33"/>
      <x:c r="B338" s="33"/>
      <x:c r="C338" s="33"/>
      <x:c r="D338" s="33"/>
      <x:c r="E338" s="36"/>
      <x:c r="F338" s="36"/>
      <x:c r="G338" s="33"/>
      <x:c r="H338" s="33"/>
      <x:c r="I338" s="33"/>
      <x:c r="J338" s="33"/>
      <x:c r="K338" s="33"/>
      <x:c r="L338" s="33"/>
      <x:c r="M338" s="33"/>
      <x:c r="N338" s="37"/>
      <x:c r="O338" s="33"/>
      <x:c r="P338" s="33"/>
      <x:c r="Q338" s="33"/>
      <x:c r="R338" s="37"/>
      <x:c r="S338" s="33"/>
      <x:c r="T338" s="33"/>
      <x:c r="U338" s="33"/>
      <x:c r="V338" s="38"/>
      <x:c r="W338" s="34"/>
      <x:c r="X338" s="34"/>
      <x:c r="Y338" s="34"/>
      <x:c r="Z338" s="34"/>
      <x:c r="AA338" s="34"/>
      <x:c r="AB338" s="34"/>
      <x:c r="AC338" s="34"/>
      <x:c r="AD338" s="34"/>
      <x:c r="AE338" s="34"/>
      <x:c r="AF338" s="34"/>
      <x:c r="AG338" s="34"/>
      <x:c r="AH338" s="35" t="str">
        <x:f>IF(COUNTA(X338:AA338)&lt;4,"",ROUND((X338*20)*45%+(((Y338-1)/4*100)*30%+((Z338-1)/4*100)*25%+(1-(AA338-1)/4)*100*25%+(1-(MAX(1,AC338:AE338)-1)/4)*100*20%)*55%,0))</x:f>
      </x:c>
      <x:c r="AI338" s="35" t="str">
        <x:f>IF(AH338="","",IF(AH338&gt;=85,"Excelente",IF(AH338&gt;=70,"Adequado",IF(AH338&gt;=50,"Atenção","Crítico"))))</x:f>
      </x:c>
    </x:row>
    <x:row r="339">
      <x:c r="A339" s="33"/>
      <x:c r="B339" s="33"/>
      <x:c r="C339" s="33"/>
      <x:c r="D339" s="33"/>
      <x:c r="E339" s="36"/>
      <x:c r="F339" s="36"/>
      <x:c r="G339" s="33"/>
      <x:c r="H339" s="33"/>
      <x:c r="I339" s="33"/>
      <x:c r="J339" s="33"/>
      <x:c r="K339" s="33"/>
      <x:c r="L339" s="33"/>
      <x:c r="M339" s="33"/>
      <x:c r="N339" s="37"/>
      <x:c r="O339" s="33"/>
      <x:c r="P339" s="33"/>
      <x:c r="Q339" s="33"/>
      <x:c r="R339" s="37"/>
      <x:c r="S339" s="33"/>
      <x:c r="T339" s="33"/>
      <x:c r="U339" s="33"/>
      <x:c r="V339" s="38"/>
      <x:c r="W339" s="34"/>
      <x:c r="X339" s="34"/>
      <x:c r="Y339" s="34"/>
      <x:c r="Z339" s="34"/>
      <x:c r="AA339" s="34"/>
      <x:c r="AB339" s="34"/>
      <x:c r="AC339" s="34"/>
      <x:c r="AD339" s="34"/>
      <x:c r="AE339" s="34"/>
      <x:c r="AF339" s="34"/>
      <x:c r="AG339" s="34"/>
      <x:c r="AH339" s="35" t="str">
        <x:f>IF(COUNTA(X339:AA339)&lt;4,"",ROUND((X339*20)*45%+(((Y339-1)/4*100)*30%+((Z339-1)/4*100)*25%+(1-(AA339-1)/4)*100*25%+(1-(MAX(1,AC339:AE339)-1)/4)*100*20%)*55%,0))</x:f>
      </x:c>
      <x:c r="AI339" s="35" t="str">
        <x:f>IF(AH339="","",IF(AH339&gt;=85,"Excelente",IF(AH339&gt;=70,"Adequado",IF(AH339&gt;=50,"Atenção","Crítico"))))</x:f>
      </x:c>
    </x:row>
    <x:row r="340">
      <x:c r="A340" s="33"/>
      <x:c r="B340" s="33"/>
      <x:c r="C340" s="33"/>
      <x:c r="D340" s="33"/>
      <x:c r="E340" s="36"/>
      <x:c r="F340" s="36"/>
      <x:c r="G340" s="33"/>
      <x:c r="H340" s="33"/>
      <x:c r="I340" s="33"/>
      <x:c r="J340" s="33"/>
      <x:c r="K340" s="33"/>
      <x:c r="L340" s="33"/>
      <x:c r="M340" s="33"/>
      <x:c r="N340" s="37"/>
      <x:c r="O340" s="33"/>
      <x:c r="P340" s="33"/>
      <x:c r="Q340" s="33"/>
      <x:c r="R340" s="37"/>
      <x:c r="S340" s="33"/>
      <x:c r="T340" s="33"/>
      <x:c r="U340" s="33"/>
      <x:c r="V340" s="38"/>
      <x:c r="W340" s="34"/>
      <x:c r="X340" s="34"/>
      <x:c r="Y340" s="34"/>
      <x:c r="Z340" s="34"/>
      <x:c r="AA340" s="34"/>
      <x:c r="AB340" s="34"/>
      <x:c r="AC340" s="34"/>
      <x:c r="AD340" s="34"/>
      <x:c r="AE340" s="34"/>
      <x:c r="AF340" s="34"/>
      <x:c r="AG340" s="34"/>
      <x:c r="AH340" s="35" t="str">
        <x:f>IF(COUNTA(X340:AA340)&lt;4,"",ROUND((X340*20)*45%+(((Y340-1)/4*100)*30%+((Z340-1)/4*100)*25%+(1-(AA340-1)/4)*100*25%+(1-(MAX(1,AC340:AE340)-1)/4)*100*20%)*55%,0))</x:f>
      </x:c>
      <x:c r="AI340" s="35" t="str">
        <x:f>IF(AH340="","",IF(AH340&gt;=85,"Excelente",IF(AH340&gt;=70,"Adequado",IF(AH340&gt;=50,"Atenção","Crítico"))))</x:f>
      </x:c>
    </x:row>
    <x:row r="341">
      <x:c r="A341" s="33"/>
      <x:c r="B341" s="33"/>
      <x:c r="C341" s="33"/>
      <x:c r="D341" s="33"/>
      <x:c r="E341" s="36"/>
      <x:c r="F341" s="36"/>
      <x:c r="G341" s="33"/>
      <x:c r="H341" s="33"/>
      <x:c r="I341" s="33"/>
      <x:c r="J341" s="33"/>
      <x:c r="K341" s="33"/>
      <x:c r="L341" s="33"/>
      <x:c r="M341" s="33"/>
      <x:c r="N341" s="37"/>
      <x:c r="O341" s="33"/>
      <x:c r="P341" s="33"/>
      <x:c r="Q341" s="33"/>
      <x:c r="R341" s="37"/>
      <x:c r="S341" s="33"/>
      <x:c r="T341" s="33"/>
      <x:c r="U341" s="33"/>
      <x:c r="V341" s="38"/>
      <x:c r="W341" s="34"/>
      <x:c r="X341" s="34"/>
      <x:c r="Y341" s="34"/>
      <x:c r="Z341" s="34"/>
      <x:c r="AA341" s="34"/>
      <x:c r="AB341" s="34"/>
      <x:c r="AC341" s="34"/>
      <x:c r="AD341" s="34"/>
      <x:c r="AE341" s="34"/>
      <x:c r="AF341" s="34"/>
      <x:c r="AG341" s="34"/>
      <x:c r="AH341" s="35" t="str">
        <x:f>IF(COUNTA(X341:AA341)&lt;4,"",ROUND((X341*20)*45%+(((Y341-1)/4*100)*30%+((Z341-1)/4*100)*25%+(1-(AA341-1)/4)*100*25%+(1-(MAX(1,AC341:AE341)-1)/4)*100*20%)*55%,0))</x:f>
      </x:c>
      <x:c r="AI341" s="35" t="str">
        <x:f>IF(AH341="","",IF(AH341&gt;=85,"Excelente",IF(AH341&gt;=70,"Adequado",IF(AH341&gt;=50,"Atenção","Crítico"))))</x:f>
      </x:c>
    </x:row>
    <x:row r="342">
      <x:c r="A342" s="33"/>
      <x:c r="B342" s="33"/>
      <x:c r="C342" s="33"/>
      <x:c r="D342" s="33"/>
      <x:c r="E342" s="36"/>
      <x:c r="F342" s="36"/>
      <x:c r="G342" s="33"/>
      <x:c r="H342" s="33"/>
      <x:c r="I342" s="33"/>
      <x:c r="J342" s="33"/>
      <x:c r="K342" s="33"/>
      <x:c r="L342" s="33"/>
      <x:c r="M342" s="33"/>
      <x:c r="N342" s="37"/>
      <x:c r="O342" s="33"/>
      <x:c r="P342" s="33"/>
      <x:c r="Q342" s="33"/>
      <x:c r="R342" s="37"/>
      <x:c r="S342" s="33"/>
      <x:c r="T342" s="33"/>
      <x:c r="U342" s="33"/>
      <x:c r="V342" s="38"/>
      <x:c r="W342" s="34"/>
      <x:c r="X342" s="34"/>
      <x:c r="Y342" s="34"/>
      <x:c r="Z342" s="34"/>
      <x:c r="AA342" s="34"/>
      <x:c r="AB342" s="34"/>
      <x:c r="AC342" s="34"/>
      <x:c r="AD342" s="34"/>
      <x:c r="AE342" s="34"/>
      <x:c r="AF342" s="34"/>
      <x:c r="AG342" s="34"/>
      <x:c r="AH342" s="35" t="str">
        <x:f>IF(COUNTA(X342:AA342)&lt;4,"",ROUND((X342*20)*45%+(((Y342-1)/4*100)*30%+((Z342-1)/4*100)*25%+(1-(AA342-1)/4)*100*25%+(1-(MAX(1,AC342:AE342)-1)/4)*100*20%)*55%,0))</x:f>
      </x:c>
      <x:c r="AI342" s="35" t="str">
        <x:f>IF(AH342="","",IF(AH342&gt;=85,"Excelente",IF(AH342&gt;=70,"Adequado",IF(AH342&gt;=50,"Atenção","Crítico"))))</x:f>
      </x:c>
    </x:row>
    <x:row r="343">
      <x:c r="A343" s="33"/>
      <x:c r="B343" s="33"/>
      <x:c r="C343" s="33"/>
      <x:c r="D343" s="33"/>
      <x:c r="E343" s="36"/>
      <x:c r="F343" s="36"/>
      <x:c r="G343" s="33"/>
      <x:c r="H343" s="33"/>
      <x:c r="I343" s="33"/>
      <x:c r="J343" s="33"/>
      <x:c r="K343" s="33"/>
      <x:c r="L343" s="33"/>
      <x:c r="M343" s="33"/>
      <x:c r="N343" s="37"/>
      <x:c r="O343" s="33"/>
      <x:c r="P343" s="33"/>
      <x:c r="Q343" s="33"/>
      <x:c r="R343" s="37"/>
      <x:c r="S343" s="33"/>
      <x:c r="T343" s="33"/>
      <x:c r="U343" s="33"/>
      <x:c r="V343" s="38"/>
      <x:c r="W343" s="34"/>
      <x:c r="X343" s="34"/>
      <x:c r="Y343" s="34"/>
      <x:c r="Z343" s="34"/>
      <x:c r="AA343" s="34"/>
      <x:c r="AB343" s="34"/>
      <x:c r="AC343" s="34"/>
      <x:c r="AD343" s="34"/>
      <x:c r="AE343" s="34"/>
      <x:c r="AF343" s="34"/>
      <x:c r="AG343" s="34"/>
      <x:c r="AH343" s="35" t="str">
        <x:f>IF(COUNTA(X343:AA343)&lt;4,"",ROUND((X343*20)*45%+(((Y343-1)/4*100)*30%+((Z343-1)/4*100)*25%+(1-(AA343-1)/4)*100*25%+(1-(MAX(1,AC343:AE343)-1)/4)*100*20%)*55%,0))</x:f>
      </x:c>
      <x:c r="AI343" s="35" t="str">
        <x:f>IF(AH343="","",IF(AH343&gt;=85,"Excelente",IF(AH343&gt;=70,"Adequado",IF(AH343&gt;=50,"Atenção","Crítico"))))</x:f>
      </x:c>
    </x:row>
    <x:row r="344">
      <x:c r="A344" s="33"/>
      <x:c r="B344" s="33"/>
      <x:c r="C344" s="33"/>
      <x:c r="D344" s="33"/>
      <x:c r="E344" s="36"/>
      <x:c r="F344" s="36"/>
      <x:c r="G344" s="33"/>
      <x:c r="H344" s="33"/>
      <x:c r="I344" s="33"/>
      <x:c r="J344" s="33"/>
      <x:c r="K344" s="33"/>
      <x:c r="L344" s="33"/>
      <x:c r="M344" s="33"/>
      <x:c r="N344" s="37"/>
      <x:c r="O344" s="33"/>
      <x:c r="P344" s="33"/>
      <x:c r="Q344" s="33"/>
      <x:c r="R344" s="37"/>
      <x:c r="S344" s="33"/>
      <x:c r="T344" s="33"/>
      <x:c r="U344" s="33"/>
      <x:c r="V344" s="38"/>
      <x:c r="W344" s="34"/>
      <x:c r="X344" s="34"/>
      <x:c r="Y344" s="34"/>
      <x:c r="Z344" s="34"/>
      <x:c r="AA344" s="34"/>
      <x:c r="AB344" s="34"/>
      <x:c r="AC344" s="34"/>
      <x:c r="AD344" s="34"/>
      <x:c r="AE344" s="34"/>
      <x:c r="AF344" s="34"/>
      <x:c r="AG344" s="34"/>
      <x:c r="AH344" s="35" t="str">
        <x:f>IF(COUNTA(X344:AA344)&lt;4,"",ROUND((X344*20)*45%+(((Y344-1)/4*100)*30%+((Z344-1)/4*100)*25%+(1-(AA344-1)/4)*100*25%+(1-(MAX(1,AC344:AE344)-1)/4)*100*20%)*55%,0))</x:f>
      </x:c>
      <x:c r="AI344" s="35" t="str">
        <x:f>IF(AH344="","",IF(AH344&gt;=85,"Excelente",IF(AH344&gt;=70,"Adequado",IF(AH344&gt;=50,"Atenção","Crítico"))))</x:f>
      </x:c>
    </x:row>
    <x:row r="345">
      <x:c r="A345" s="33"/>
      <x:c r="B345" s="33"/>
      <x:c r="C345" s="33"/>
      <x:c r="D345" s="33"/>
      <x:c r="E345" s="36"/>
      <x:c r="F345" s="36"/>
      <x:c r="G345" s="33"/>
      <x:c r="H345" s="33"/>
      <x:c r="I345" s="33"/>
      <x:c r="J345" s="33"/>
      <x:c r="K345" s="33"/>
      <x:c r="L345" s="33"/>
      <x:c r="M345" s="33"/>
      <x:c r="N345" s="37"/>
      <x:c r="O345" s="33"/>
      <x:c r="P345" s="33"/>
      <x:c r="Q345" s="33"/>
      <x:c r="R345" s="37"/>
      <x:c r="S345" s="33"/>
      <x:c r="T345" s="33"/>
      <x:c r="U345" s="33"/>
      <x:c r="V345" s="38"/>
      <x:c r="W345" s="34"/>
      <x:c r="X345" s="34"/>
      <x:c r="Y345" s="34"/>
      <x:c r="Z345" s="34"/>
      <x:c r="AA345" s="34"/>
      <x:c r="AB345" s="34"/>
      <x:c r="AC345" s="34"/>
      <x:c r="AD345" s="34"/>
      <x:c r="AE345" s="34"/>
      <x:c r="AF345" s="34"/>
      <x:c r="AG345" s="34"/>
      <x:c r="AH345" s="35" t="str">
        <x:f>IF(COUNTA(X345:AA345)&lt;4,"",ROUND((X345*20)*45%+(((Y345-1)/4*100)*30%+((Z345-1)/4*100)*25%+(1-(AA345-1)/4)*100*25%+(1-(MAX(1,AC345:AE345)-1)/4)*100*20%)*55%,0))</x:f>
      </x:c>
      <x:c r="AI345" s="35" t="str">
        <x:f>IF(AH345="","",IF(AH345&gt;=85,"Excelente",IF(AH345&gt;=70,"Adequado",IF(AH345&gt;=50,"Atenção","Crítico"))))</x:f>
      </x:c>
    </x:row>
    <x:row r="346">
      <x:c r="A346" s="33"/>
      <x:c r="B346" s="33"/>
      <x:c r="C346" s="33"/>
      <x:c r="D346" s="33"/>
      <x:c r="E346" s="36"/>
      <x:c r="F346" s="36"/>
      <x:c r="G346" s="33"/>
      <x:c r="H346" s="33"/>
      <x:c r="I346" s="33"/>
      <x:c r="J346" s="33"/>
      <x:c r="K346" s="33"/>
      <x:c r="L346" s="33"/>
      <x:c r="M346" s="33"/>
      <x:c r="N346" s="37"/>
      <x:c r="O346" s="33"/>
      <x:c r="P346" s="33"/>
      <x:c r="Q346" s="33"/>
      <x:c r="R346" s="37"/>
      <x:c r="S346" s="33"/>
      <x:c r="T346" s="33"/>
      <x:c r="U346" s="33"/>
      <x:c r="V346" s="38"/>
      <x:c r="W346" s="34"/>
      <x:c r="X346" s="34"/>
      <x:c r="Y346" s="34"/>
      <x:c r="Z346" s="34"/>
      <x:c r="AA346" s="34"/>
      <x:c r="AB346" s="34"/>
      <x:c r="AC346" s="34"/>
      <x:c r="AD346" s="34"/>
      <x:c r="AE346" s="34"/>
      <x:c r="AF346" s="34"/>
      <x:c r="AG346" s="34"/>
      <x:c r="AH346" s="35" t="str">
        <x:f>IF(COUNTA(X346:AA346)&lt;4,"",ROUND((X346*20)*45%+(((Y346-1)/4*100)*30%+((Z346-1)/4*100)*25%+(1-(AA346-1)/4)*100*25%+(1-(MAX(1,AC346:AE346)-1)/4)*100*20%)*55%,0))</x:f>
      </x:c>
      <x:c r="AI346" s="35" t="str">
        <x:f>IF(AH346="","",IF(AH346&gt;=85,"Excelente",IF(AH346&gt;=70,"Adequado",IF(AH346&gt;=50,"Atenção","Crítico"))))</x:f>
      </x:c>
    </x:row>
    <x:row r="347">
      <x:c r="A347" s="33"/>
      <x:c r="B347" s="33"/>
      <x:c r="C347" s="33"/>
      <x:c r="D347" s="33"/>
      <x:c r="E347" s="36"/>
      <x:c r="F347" s="36"/>
      <x:c r="G347" s="33"/>
      <x:c r="H347" s="33"/>
      <x:c r="I347" s="33"/>
      <x:c r="J347" s="33"/>
      <x:c r="K347" s="33"/>
      <x:c r="L347" s="33"/>
      <x:c r="M347" s="33"/>
      <x:c r="N347" s="37"/>
      <x:c r="O347" s="33"/>
      <x:c r="P347" s="33"/>
      <x:c r="Q347" s="33"/>
      <x:c r="R347" s="37"/>
      <x:c r="S347" s="33"/>
      <x:c r="T347" s="33"/>
      <x:c r="U347" s="33"/>
      <x:c r="V347" s="38"/>
      <x:c r="W347" s="34"/>
      <x:c r="X347" s="34"/>
      <x:c r="Y347" s="34"/>
      <x:c r="Z347" s="34"/>
      <x:c r="AA347" s="34"/>
      <x:c r="AB347" s="34"/>
      <x:c r="AC347" s="34"/>
      <x:c r="AD347" s="34"/>
      <x:c r="AE347" s="34"/>
      <x:c r="AF347" s="34"/>
      <x:c r="AG347" s="34"/>
      <x:c r="AH347" s="35" t="str">
        <x:f>IF(COUNTA(X347:AA347)&lt;4,"",ROUND((X347*20)*45%+(((Y347-1)/4*100)*30%+((Z347-1)/4*100)*25%+(1-(AA347-1)/4)*100*25%+(1-(MAX(1,AC347:AE347)-1)/4)*100*20%)*55%,0))</x:f>
      </x:c>
      <x:c r="AI347" s="35" t="str">
        <x:f>IF(AH347="","",IF(AH347&gt;=85,"Excelente",IF(AH347&gt;=70,"Adequado",IF(AH347&gt;=50,"Atenção","Crítico"))))</x:f>
      </x:c>
    </x:row>
    <x:row r="348">
      <x:c r="A348" s="33"/>
      <x:c r="B348" s="33"/>
      <x:c r="C348" s="33"/>
      <x:c r="D348" s="33"/>
      <x:c r="E348" s="36"/>
      <x:c r="F348" s="36"/>
      <x:c r="G348" s="33"/>
      <x:c r="H348" s="33"/>
      <x:c r="I348" s="33"/>
      <x:c r="J348" s="33"/>
      <x:c r="K348" s="33"/>
      <x:c r="L348" s="33"/>
      <x:c r="M348" s="33"/>
      <x:c r="N348" s="37"/>
      <x:c r="O348" s="33"/>
      <x:c r="P348" s="33"/>
      <x:c r="Q348" s="33"/>
      <x:c r="R348" s="37"/>
      <x:c r="S348" s="33"/>
      <x:c r="T348" s="33"/>
      <x:c r="U348" s="33"/>
      <x:c r="V348" s="38"/>
      <x:c r="W348" s="34"/>
      <x:c r="X348" s="34"/>
      <x:c r="Y348" s="34"/>
      <x:c r="Z348" s="34"/>
      <x:c r="AA348" s="34"/>
      <x:c r="AB348" s="34"/>
      <x:c r="AC348" s="34"/>
      <x:c r="AD348" s="34"/>
      <x:c r="AE348" s="34"/>
      <x:c r="AF348" s="34"/>
      <x:c r="AG348" s="34"/>
      <x:c r="AH348" s="35" t="str">
        <x:f>IF(COUNTA(X348:AA348)&lt;4,"",ROUND((X348*20)*45%+(((Y348-1)/4*100)*30%+((Z348-1)/4*100)*25%+(1-(AA348-1)/4)*100*25%+(1-(MAX(1,AC348:AE348)-1)/4)*100*20%)*55%,0))</x:f>
      </x:c>
      <x:c r="AI348" s="35" t="str">
        <x:f>IF(AH348="","",IF(AH348&gt;=85,"Excelente",IF(AH348&gt;=70,"Adequado",IF(AH348&gt;=50,"Atenção","Crítico"))))</x:f>
      </x:c>
    </x:row>
    <x:row r="349">
      <x:c r="A349" s="33"/>
      <x:c r="B349" s="33"/>
      <x:c r="C349" s="33"/>
      <x:c r="D349" s="33"/>
      <x:c r="E349" s="36"/>
      <x:c r="F349" s="36"/>
      <x:c r="G349" s="33"/>
      <x:c r="H349" s="33"/>
      <x:c r="I349" s="33"/>
      <x:c r="J349" s="33"/>
      <x:c r="K349" s="33"/>
      <x:c r="L349" s="33"/>
      <x:c r="M349" s="33"/>
      <x:c r="N349" s="37"/>
      <x:c r="O349" s="33"/>
      <x:c r="P349" s="33"/>
      <x:c r="Q349" s="33"/>
      <x:c r="R349" s="37"/>
      <x:c r="S349" s="33"/>
      <x:c r="T349" s="33"/>
      <x:c r="U349" s="33"/>
      <x:c r="V349" s="38"/>
      <x:c r="W349" s="34"/>
      <x:c r="X349" s="34"/>
      <x:c r="Y349" s="34"/>
      <x:c r="Z349" s="34"/>
      <x:c r="AA349" s="34"/>
      <x:c r="AB349" s="34"/>
      <x:c r="AC349" s="34"/>
      <x:c r="AD349" s="34"/>
      <x:c r="AE349" s="34"/>
      <x:c r="AF349" s="34"/>
      <x:c r="AG349" s="34"/>
      <x:c r="AH349" s="35" t="str">
        <x:f>IF(COUNTA(X349:AA349)&lt;4,"",ROUND((X349*20)*45%+(((Y349-1)/4*100)*30%+((Z349-1)/4*100)*25%+(1-(AA349-1)/4)*100*25%+(1-(MAX(1,AC349:AE349)-1)/4)*100*20%)*55%,0))</x:f>
      </x:c>
      <x:c r="AI349" s="35" t="str">
        <x:f>IF(AH349="","",IF(AH349&gt;=85,"Excelente",IF(AH349&gt;=70,"Adequado",IF(AH349&gt;=50,"Atenção","Crítico"))))</x:f>
      </x:c>
    </x:row>
    <x:row r="350">
      <x:c r="A350" s="33"/>
      <x:c r="B350" s="33"/>
      <x:c r="C350" s="33"/>
      <x:c r="D350" s="33"/>
      <x:c r="E350" s="36"/>
      <x:c r="F350" s="36"/>
      <x:c r="G350" s="33"/>
      <x:c r="H350" s="33"/>
      <x:c r="I350" s="33"/>
      <x:c r="J350" s="33"/>
      <x:c r="K350" s="33"/>
      <x:c r="L350" s="33"/>
      <x:c r="M350" s="33"/>
      <x:c r="N350" s="37"/>
      <x:c r="O350" s="33"/>
      <x:c r="P350" s="33"/>
      <x:c r="Q350" s="33"/>
      <x:c r="R350" s="37"/>
      <x:c r="S350" s="33"/>
      <x:c r="T350" s="33"/>
      <x:c r="U350" s="33"/>
      <x:c r="V350" s="38"/>
      <x:c r="W350" s="34"/>
      <x:c r="X350" s="34"/>
      <x:c r="Y350" s="34"/>
      <x:c r="Z350" s="34"/>
      <x:c r="AA350" s="34"/>
      <x:c r="AB350" s="34"/>
      <x:c r="AC350" s="34"/>
      <x:c r="AD350" s="34"/>
      <x:c r="AE350" s="34"/>
      <x:c r="AF350" s="34"/>
      <x:c r="AG350" s="34"/>
      <x:c r="AH350" s="35" t="str">
        <x:f>IF(COUNTA(X350:AA350)&lt;4,"",ROUND((X350*20)*45%+(((Y350-1)/4*100)*30%+((Z350-1)/4*100)*25%+(1-(AA350-1)/4)*100*25%+(1-(MAX(1,AC350:AE350)-1)/4)*100*20%)*55%,0))</x:f>
      </x:c>
      <x:c r="AI350" s="35" t="str">
        <x:f>IF(AH350="","",IF(AH350&gt;=85,"Excelente",IF(AH350&gt;=70,"Adequado",IF(AH350&gt;=50,"Atenção","Crítico"))))</x:f>
      </x:c>
    </x:row>
    <x:row r="351">
      <x:c r="A351" s="33"/>
      <x:c r="B351" s="33"/>
      <x:c r="C351" s="33"/>
      <x:c r="D351" s="33"/>
      <x:c r="E351" s="36"/>
      <x:c r="F351" s="36"/>
      <x:c r="G351" s="33"/>
      <x:c r="H351" s="33"/>
      <x:c r="I351" s="33"/>
      <x:c r="J351" s="33"/>
      <x:c r="K351" s="33"/>
      <x:c r="L351" s="33"/>
      <x:c r="M351" s="33"/>
      <x:c r="N351" s="37"/>
      <x:c r="O351" s="33"/>
      <x:c r="P351" s="33"/>
      <x:c r="Q351" s="33"/>
      <x:c r="R351" s="37"/>
      <x:c r="S351" s="33"/>
      <x:c r="T351" s="33"/>
      <x:c r="U351" s="33"/>
      <x:c r="V351" s="38"/>
      <x:c r="W351" s="34"/>
      <x:c r="X351" s="34"/>
      <x:c r="Y351" s="34"/>
      <x:c r="Z351" s="34"/>
      <x:c r="AA351" s="34"/>
      <x:c r="AB351" s="34"/>
      <x:c r="AC351" s="34"/>
      <x:c r="AD351" s="34"/>
      <x:c r="AE351" s="34"/>
      <x:c r="AF351" s="34"/>
      <x:c r="AG351" s="34"/>
      <x:c r="AH351" s="35" t="str">
        <x:f>IF(COUNTA(X351:AA351)&lt;4,"",ROUND((X351*20)*45%+(((Y351-1)/4*100)*30%+((Z351-1)/4*100)*25%+(1-(AA351-1)/4)*100*25%+(1-(MAX(1,AC351:AE351)-1)/4)*100*20%)*55%,0))</x:f>
      </x:c>
      <x:c r="AI351" s="35" t="str">
        <x:f>IF(AH351="","",IF(AH351&gt;=85,"Excelente",IF(AH351&gt;=70,"Adequado",IF(AH351&gt;=50,"Atenção","Crítico"))))</x:f>
      </x:c>
    </x:row>
    <x:row r="352">
      <x:c r="A352" s="33"/>
      <x:c r="B352" s="33"/>
      <x:c r="C352" s="33"/>
      <x:c r="D352" s="33"/>
      <x:c r="E352" s="36"/>
      <x:c r="F352" s="36"/>
      <x:c r="G352" s="33"/>
      <x:c r="H352" s="33"/>
      <x:c r="I352" s="33"/>
      <x:c r="J352" s="33"/>
      <x:c r="K352" s="33"/>
      <x:c r="L352" s="33"/>
      <x:c r="M352" s="33"/>
      <x:c r="N352" s="37"/>
      <x:c r="O352" s="33"/>
      <x:c r="P352" s="33"/>
      <x:c r="Q352" s="33"/>
      <x:c r="R352" s="37"/>
      <x:c r="S352" s="33"/>
      <x:c r="T352" s="33"/>
      <x:c r="U352" s="33"/>
      <x:c r="V352" s="38"/>
      <x:c r="W352" s="34"/>
      <x:c r="X352" s="34"/>
      <x:c r="Y352" s="34"/>
      <x:c r="Z352" s="34"/>
      <x:c r="AA352" s="34"/>
      <x:c r="AB352" s="34"/>
      <x:c r="AC352" s="34"/>
      <x:c r="AD352" s="34"/>
      <x:c r="AE352" s="34"/>
      <x:c r="AF352" s="34"/>
      <x:c r="AG352" s="34"/>
      <x:c r="AH352" s="35" t="str">
        <x:f>IF(COUNTA(X352:AA352)&lt;4,"",ROUND((X352*20)*45%+(((Y352-1)/4*100)*30%+((Z352-1)/4*100)*25%+(1-(AA352-1)/4)*100*25%+(1-(MAX(1,AC352:AE352)-1)/4)*100*20%)*55%,0))</x:f>
      </x:c>
      <x:c r="AI352" s="35" t="str">
        <x:f>IF(AH352="","",IF(AH352&gt;=85,"Excelente",IF(AH352&gt;=70,"Adequado",IF(AH352&gt;=50,"Atenção","Crítico"))))</x:f>
      </x:c>
    </x:row>
    <x:row r="353">
      <x:c r="A353" s="33"/>
      <x:c r="B353" s="33"/>
      <x:c r="C353" s="33"/>
      <x:c r="D353" s="33"/>
      <x:c r="E353" s="36"/>
      <x:c r="F353" s="36"/>
      <x:c r="G353" s="33"/>
      <x:c r="H353" s="33"/>
      <x:c r="I353" s="33"/>
      <x:c r="J353" s="33"/>
      <x:c r="K353" s="33"/>
      <x:c r="L353" s="33"/>
      <x:c r="M353" s="33"/>
      <x:c r="N353" s="37"/>
      <x:c r="O353" s="33"/>
      <x:c r="P353" s="33"/>
      <x:c r="Q353" s="33"/>
      <x:c r="R353" s="37"/>
      <x:c r="S353" s="33"/>
      <x:c r="T353" s="33"/>
      <x:c r="U353" s="33"/>
      <x:c r="V353" s="38"/>
      <x:c r="W353" s="34"/>
      <x:c r="X353" s="34"/>
      <x:c r="Y353" s="34"/>
      <x:c r="Z353" s="34"/>
      <x:c r="AA353" s="34"/>
      <x:c r="AB353" s="34"/>
      <x:c r="AC353" s="34"/>
      <x:c r="AD353" s="34"/>
      <x:c r="AE353" s="34"/>
      <x:c r="AF353" s="34"/>
      <x:c r="AG353" s="34"/>
      <x:c r="AH353" s="35" t="str">
        <x:f>IF(COUNTA(X353:AA353)&lt;4,"",ROUND((X353*20)*45%+(((Y353-1)/4*100)*30%+((Z353-1)/4*100)*25%+(1-(AA353-1)/4)*100*25%+(1-(MAX(1,AC353:AE353)-1)/4)*100*20%)*55%,0))</x:f>
      </x:c>
      <x:c r="AI353" s="35" t="str">
        <x:f>IF(AH353="","",IF(AH353&gt;=85,"Excelente",IF(AH353&gt;=70,"Adequado",IF(AH353&gt;=50,"Atenção","Crítico"))))</x:f>
      </x:c>
    </x:row>
    <x:row r="354">
      <x:c r="A354" s="33"/>
      <x:c r="B354" s="33"/>
      <x:c r="C354" s="33"/>
      <x:c r="D354" s="33"/>
      <x:c r="E354" s="36"/>
      <x:c r="F354" s="36"/>
      <x:c r="G354" s="33"/>
      <x:c r="H354" s="33"/>
      <x:c r="I354" s="33"/>
      <x:c r="J354" s="33"/>
      <x:c r="K354" s="33"/>
      <x:c r="L354" s="33"/>
      <x:c r="M354" s="33"/>
      <x:c r="N354" s="37"/>
      <x:c r="O354" s="33"/>
      <x:c r="P354" s="33"/>
      <x:c r="Q354" s="33"/>
      <x:c r="R354" s="37"/>
      <x:c r="S354" s="33"/>
      <x:c r="T354" s="33"/>
      <x:c r="U354" s="33"/>
      <x:c r="V354" s="38"/>
      <x:c r="W354" s="34"/>
      <x:c r="X354" s="34"/>
      <x:c r="Y354" s="34"/>
      <x:c r="Z354" s="34"/>
      <x:c r="AA354" s="34"/>
      <x:c r="AB354" s="34"/>
      <x:c r="AC354" s="34"/>
      <x:c r="AD354" s="34"/>
      <x:c r="AE354" s="34"/>
      <x:c r="AF354" s="34"/>
      <x:c r="AG354" s="34"/>
      <x:c r="AH354" s="35" t="str">
        <x:f>IF(COUNTA(X354:AA354)&lt;4,"",ROUND((X354*20)*45%+(((Y354-1)/4*100)*30%+((Z354-1)/4*100)*25%+(1-(AA354-1)/4)*100*25%+(1-(MAX(1,AC354:AE354)-1)/4)*100*20%)*55%,0))</x:f>
      </x:c>
      <x:c r="AI354" s="35" t="str">
        <x:f>IF(AH354="","",IF(AH354&gt;=85,"Excelente",IF(AH354&gt;=70,"Adequado",IF(AH354&gt;=50,"Atenção","Crítico"))))</x:f>
      </x:c>
    </x:row>
    <x:row r="355">
      <x:c r="A355" s="33"/>
      <x:c r="B355" s="33"/>
      <x:c r="C355" s="33"/>
      <x:c r="D355" s="33"/>
      <x:c r="E355" s="36"/>
      <x:c r="F355" s="36"/>
      <x:c r="G355" s="33"/>
      <x:c r="H355" s="33"/>
      <x:c r="I355" s="33"/>
      <x:c r="J355" s="33"/>
      <x:c r="K355" s="33"/>
      <x:c r="L355" s="33"/>
      <x:c r="M355" s="33"/>
      <x:c r="N355" s="37"/>
      <x:c r="O355" s="33"/>
      <x:c r="P355" s="33"/>
      <x:c r="Q355" s="33"/>
      <x:c r="R355" s="37"/>
      <x:c r="S355" s="33"/>
      <x:c r="T355" s="33"/>
      <x:c r="U355" s="33"/>
      <x:c r="V355" s="38"/>
      <x:c r="W355" s="34"/>
      <x:c r="X355" s="34"/>
      <x:c r="Y355" s="34"/>
      <x:c r="Z355" s="34"/>
      <x:c r="AA355" s="34"/>
      <x:c r="AB355" s="34"/>
      <x:c r="AC355" s="34"/>
      <x:c r="AD355" s="34"/>
      <x:c r="AE355" s="34"/>
      <x:c r="AF355" s="34"/>
      <x:c r="AG355" s="34"/>
      <x:c r="AH355" s="35" t="str">
        <x:f>IF(COUNTA(X355:AA355)&lt;4,"",ROUND((X355*20)*45%+(((Y355-1)/4*100)*30%+((Z355-1)/4*100)*25%+(1-(AA355-1)/4)*100*25%+(1-(MAX(1,AC355:AE355)-1)/4)*100*20%)*55%,0))</x:f>
      </x:c>
      <x:c r="AI355" s="35" t="str">
        <x:f>IF(AH355="","",IF(AH355&gt;=85,"Excelente",IF(AH355&gt;=70,"Adequado",IF(AH355&gt;=50,"Atenção","Crítico"))))</x:f>
      </x:c>
    </x:row>
    <x:row r="356">
      <x:c r="A356" s="33"/>
      <x:c r="B356" s="33"/>
      <x:c r="C356" s="33"/>
      <x:c r="D356" s="33"/>
      <x:c r="E356" s="36"/>
      <x:c r="F356" s="36"/>
      <x:c r="G356" s="33"/>
      <x:c r="H356" s="33"/>
      <x:c r="I356" s="33"/>
      <x:c r="J356" s="33"/>
      <x:c r="K356" s="33"/>
      <x:c r="L356" s="33"/>
      <x:c r="M356" s="33"/>
      <x:c r="N356" s="37"/>
      <x:c r="O356" s="33"/>
      <x:c r="P356" s="33"/>
      <x:c r="Q356" s="33"/>
      <x:c r="R356" s="37"/>
      <x:c r="S356" s="33"/>
      <x:c r="T356" s="33"/>
      <x:c r="U356" s="33"/>
      <x:c r="V356" s="38"/>
      <x:c r="W356" s="34"/>
      <x:c r="X356" s="34"/>
      <x:c r="Y356" s="34"/>
      <x:c r="Z356" s="34"/>
      <x:c r="AA356" s="34"/>
      <x:c r="AB356" s="34"/>
      <x:c r="AC356" s="34"/>
      <x:c r="AD356" s="34"/>
      <x:c r="AE356" s="34"/>
      <x:c r="AF356" s="34"/>
      <x:c r="AG356" s="34"/>
      <x:c r="AH356" s="35" t="str">
        <x:f>IF(COUNTA(X356:AA356)&lt;4,"",ROUND((X356*20)*45%+(((Y356-1)/4*100)*30%+((Z356-1)/4*100)*25%+(1-(AA356-1)/4)*100*25%+(1-(MAX(1,AC356:AE356)-1)/4)*100*20%)*55%,0))</x:f>
      </x:c>
      <x:c r="AI356" s="35" t="str">
        <x:f>IF(AH356="","",IF(AH356&gt;=85,"Excelente",IF(AH356&gt;=70,"Adequado",IF(AH356&gt;=50,"Atenção","Crítico"))))</x:f>
      </x:c>
    </x:row>
    <x:row r="357">
      <x:c r="A357" s="33"/>
      <x:c r="B357" s="33"/>
      <x:c r="C357" s="33"/>
      <x:c r="D357" s="33"/>
      <x:c r="E357" s="36"/>
      <x:c r="F357" s="36"/>
      <x:c r="G357" s="33"/>
      <x:c r="H357" s="33"/>
      <x:c r="I357" s="33"/>
      <x:c r="J357" s="33"/>
      <x:c r="K357" s="33"/>
      <x:c r="L357" s="33"/>
      <x:c r="M357" s="33"/>
      <x:c r="N357" s="37"/>
      <x:c r="O357" s="33"/>
      <x:c r="P357" s="33"/>
      <x:c r="Q357" s="33"/>
      <x:c r="R357" s="37"/>
      <x:c r="S357" s="33"/>
      <x:c r="T357" s="33"/>
      <x:c r="U357" s="33"/>
      <x:c r="V357" s="38"/>
      <x:c r="W357" s="34"/>
      <x:c r="X357" s="34"/>
      <x:c r="Y357" s="34"/>
      <x:c r="Z357" s="34"/>
      <x:c r="AA357" s="34"/>
      <x:c r="AB357" s="34"/>
      <x:c r="AC357" s="34"/>
      <x:c r="AD357" s="34"/>
      <x:c r="AE357" s="34"/>
      <x:c r="AF357" s="34"/>
      <x:c r="AG357" s="34"/>
      <x:c r="AH357" s="35" t="str">
        <x:f>IF(COUNTA(X357:AA357)&lt;4,"",ROUND((X357*20)*45%+(((Y357-1)/4*100)*30%+((Z357-1)/4*100)*25%+(1-(AA357-1)/4)*100*25%+(1-(MAX(1,AC357:AE357)-1)/4)*100*20%)*55%,0))</x:f>
      </x:c>
      <x:c r="AI357" s="35" t="str">
        <x:f>IF(AH357="","",IF(AH357&gt;=85,"Excelente",IF(AH357&gt;=70,"Adequado",IF(AH357&gt;=50,"Atenção","Crítico"))))</x:f>
      </x:c>
    </x:row>
    <x:row r="358">
      <x:c r="A358" s="33"/>
      <x:c r="B358" s="33"/>
      <x:c r="C358" s="33"/>
      <x:c r="D358" s="33"/>
      <x:c r="E358" s="36"/>
      <x:c r="F358" s="36"/>
      <x:c r="G358" s="33"/>
      <x:c r="H358" s="33"/>
      <x:c r="I358" s="33"/>
      <x:c r="J358" s="33"/>
      <x:c r="K358" s="33"/>
      <x:c r="L358" s="33"/>
      <x:c r="M358" s="33"/>
      <x:c r="N358" s="37"/>
      <x:c r="O358" s="33"/>
      <x:c r="P358" s="33"/>
      <x:c r="Q358" s="33"/>
      <x:c r="R358" s="37"/>
      <x:c r="S358" s="33"/>
      <x:c r="T358" s="33"/>
      <x:c r="U358" s="33"/>
      <x:c r="V358" s="38"/>
      <x:c r="W358" s="34"/>
      <x:c r="X358" s="34"/>
      <x:c r="Y358" s="34"/>
      <x:c r="Z358" s="34"/>
      <x:c r="AA358" s="34"/>
      <x:c r="AB358" s="34"/>
      <x:c r="AC358" s="34"/>
      <x:c r="AD358" s="34"/>
      <x:c r="AE358" s="34"/>
      <x:c r="AF358" s="34"/>
      <x:c r="AG358" s="34"/>
      <x:c r="AH358" s="35" t="str">
        <x:f>IF(COUNTA(X358:AA358)&lt;4,"",ROUND((X358*20)*45%+(((Y358-1)/4*100)*30%+((Z358-1)/4*100)*25%+(1-(AA358-1)/4)*100*25%+(1-(MAX(1,AC358:AE358)-1)/4)*100*20%)*55%,0))</x:f>
      </x:c>
      <x:c r="AI358" s="35" t="str">
        <x:f>IF(AH358="","",IF(AH358&gt;=85,"Excelente",IF(AH358&gt;=70,"Adequado",IF(AH358&gt;=50,"Atenção","Crítico"))))</x:f>
      </x:c>
    </x:row>
    <x:row r="359">
      <x:c r="A359" s="33"/>
      <x:c r="B359" s="33"/>
      <x:c r="C359" s="33"/>
      <x:c r="D359" s="33"/>
      <x:c r="E359" s="36"/>
      <x:c r="F359" s="36"/>
      <x:c r="G359" s="33"/>
      <x:c r="H359" s="33"/>
      <x:c r="I359" s="33"/>
      <x:c r="J359" s="33"/>
      <x:c r="K359" s="33"/>
      <x:c r="L359" s="33"/>
      <x:c r="M359" s="33"/>
      <x:c r="N359" s="37"/>
      <x:c r="O359" s="33"/>
      <x:c r="P359" s="33"/>
      <x:c r="Q359" s="33"/>
      <x:c r="R359" s="37"/>
      <x:c r="S359" s="33"/>
      <x:c r="T359" s="33"/>
      <x:c r="U359" s="33"/>
      <x:c r="V359" s="38"/>
      <x:c r="W359" s="34"/>
      <x:c r="X359" s="34"/>
      <x:c r="Y359" s="34"/>
      <x:c r="Z359" s="34"/>
      <x:c r="AA359" s="34"/>
      <x:c r="AB359" s="34"/>
      <x:c r="AC359" s="34"/>
      <x:c r="AD359" s="34"/>
      <x:c r="AE359" s="34"/>
      <x:c r="AF359" s="34"/>
      <x:c r="AG359" s="34"/>
      <x:c r="AH359" s="35" t="str">
        <x:f>IF(COUNTA(X359:AA359)&lt;4,"",ROUND((X359*20)*45%+(((Y359-1)/4*100)*30%+((Z359-1)/4*100)*25%+(1-(AA359-1)/4)*100*25%+(1-(MAX(1,AC359:AE359)-1)/4)*100*20%)*55%,0))</x:f>
      </x:c>
      <x:c r="AI359" s="35" t="str">
        <x:f>IF(AH359="","",IF(AH359&gt;=85,"Excelente",IF(AH359&gt;=70,"Adequado",IF(AH359&gt;=50,"Atenção","Crítico"))))</x:f>
      </x:c>
    </x:row>
    <x:row r="360">
      <x:c r="A360" s="33"/>
      <x:c r="B360" s="33"/>
      <x:c r="C360" s="33"/>
      <x:c r="D360" s="33"/>
      <x:c r="E360" s="36"/>
      <x:c r="F360" s="36"/>
      <x:c r="G360" s="33"/>
      <x:c r="H360" s="33"/>
      <x:c r="I360" s="33"/>
      <x:c r="J360" s="33"/>
      <x:c r="K360" s="33"/>
      <x:c r="L360" s="33"/>
      <x:c r="M360" s="33"/>
      <x:c r="N360" s="37"/>
      <x:c r="O360" s="33"/>
      <x:c r="P360" s="33"/>
      <x:c r="Q360" s="33"/>
      <x:c r="R360" s="37"/>
      <x:c r="S360" s="33"/>
      <x:c r="T360" s="33"/>
      <x:c r="U360" s="33"/>
      <x:c r="V360" s="38"/>
      <x:c r="W360" s="34"/>
      <x:c r="X360" s="34"/>
      <x:c r="Y360" s="34"/>
      <x:c r="Z360" s="34"/>
      <x:c r="AA360" s="34"/>
      <x:c r="AB360" s="34"/>
      <x:c r="AC360" s="34"/>
      <x:c r="AD360" s="34"/>
      <x:c r="AE360" s="34"/>
      <x:c r="AF360" s="34"/>
      <x:c r="AG360" s="34"/>
      <x:c r="AH360" s="35" t="str">
        <x:f>IF(COUNTA(X360:AA360)&lt;4,"",ROUND((X360*20)*45%+(((Y360-1)/4*100)*30%+((Z360-1)/4*100)*25%+(1-(AA360-1)/4)*100*25%+(1-(MAX(1,AC360:AE360)-1)/4)*100*20%)*55%,0))</x:f>
      </x:c>
      <x:c r="AI360" s="35" t="str">
        <x:f>IF(AH360="","",IF(AH360&gt;=85,"Excelente",IF(AH360&gt;=70,"Adequado",IF(AH360&gt;=50,"Atenção","Crítico"))))</x:f>
      </x:c>
    </x:row>
    <x:row r="361">
      <x:c r="A361" s="33"/>
      <x:c r="B361" s="33"/>
      <x:c r="C361" s="33"/>
      <x:c r="D361" s="33"/>
      <x:c r="E361" s="36"/>
      <x:c r="F361" s="36"/>
      <x:c r="G361" s="33"/>
      <x:c r="H361" s="33"/>
      <x:c r="I361" s="33"/>
      <x:c r="J361" s="33"/>
      <x:c r="K361" s="33"/>
      <x:c r="L361" s="33"/>
      <x:c r="M361" s="33"/>
      <x:c r="N361" s="37"/>
      <x:c r="O361" s="33"/>
      <x:c r="P361" s="33"/>
      <x:c r="Q361" s="33"/>
      <x:c r="R361" s="37"/>
      <x:c r="S361" s="33"/>
      <x:c r="T361" s="33"/>
      <x:c r="U361" s="33"/>
      <x:c r="V361" s="38"/>
      <x:c r="W361" s="34"/>
      <x:c r="X361" s="34"/>
      <x:c r="Y361" s="34"/>
      <x:c r="Z361" s="34"/>
      <x:c r="AA361" s="34"/>
      <x:c r="AB361" s="34"/>
      <x:c r="AC361" s="34"/>
      <x:c r="AD361" s="34"/>
      <x:c r="AE361" s="34"/>
      <x:c r="AF361" s="34"/>
      <x:c r="AG361" s="34"/>
      <x:c r="AH361" s="35" t="str">
        <x:f>IF(COUNTA(X361:AA361)&lt;4,"",ROUND((X361*20)*45%+(((Y361-1)/4*100)*30%+((Z361-1)/4*100)*25%+(1-(AA361-1)/4)*100*25%+(1-(MAX(1,AC361:AE361)-1)/4)*100*20%)*55%,0))</x:f>
      </x:c>
      <x:c r="AI361" s="35" t="str">
        <x:f>IF(AH361="","",IF(AH361&gt;=85,"Excelente",IF(AH361&gt;=70,"Adequado",IF(AH361&gt;=50,"Atenção","Crítico"))))</x:f>
      </x:c>
    </x:row>
    <x:row r="362">
      <x:c r="A362" s="33"/>
      <x:c r="B362" s="33"/>
      <x:c r="C362" s="33"/>
      <x:c r="D362" s="33"/>
      <x:c r="E362" s="36"/>
      <x:c r="F362" s="36"/>
      <x:c r="G362" s="33"/>
      <x:c r="H362" s="33"/>
      <x:c r="I362" s="33"/>
      <x:c r="J362" s="33"/>
      <x:c r="K362" s="33"/>
      <x:c r="L362" s="33"/>
      <x:c r="M362" s="33"/>
      <x:c r="N362" s="37"/>
      <x:c r="O362" s="33"/>
      <x:c r="P362" s="33"/>
      <x:c r="Q362" s="33"/>
      <x:c r="R362" s="37"/>
      <x:c r="S362" s="33"/>
      <x:c r="T362" s="33"/>
      <x:c r="U362" s="33"/>
      <x:c r="V362" s="38"/>
      <x:c r="W362" s="34"/>
      <x:c r="X362" s="34"/>
      <x:c r="Y362" s="34"/>
      <x:c r="Z362" s="34"/>
      <x:c r="AA362" s="34"/>
      <x:c r="AB362" s="34"/>
      <x:c r="AC362" s="34"/>
      <x:c r="AD362" s="34"/>
      <x:c r="AE362" s="34"/>
      <x:c r="AF362" s="34"/>
      <x:c r="AG362" s="34"/>
      <x:c r="AH362" s="35" t="str">
        <x:f>IF(COUNTA(X362:AA362)&lt;4,"",ROUND((X362*20)*45%+(((Y362-1)/4*100)*30%+((Z362-1)/4*100)*25%+(1-(AA362-1)/4)*100*25%+(1-(MAX(1,AC362:AE362)-1)/4)*100*20%)*55%,0))</x:f>
      </x:c>
      <x:c r="AI362" s="35" t="str">
        <x:f>IF(AH362="","",IF(AH362&gt;=85,"Excelente",IF(AH362&gt;=70,"Adequado",IF(AH362&gt;=50,"Atenção","Crítico"))))</x:f>
      </x:c>
    </x:row>
    <x:row r="363">
      <x:c r="A363" s="33"/>
      <x:c r="B363" s="33"/>
      <x:c r="C363" s="33"/>
      <x:c r="D363" s="33"/>
      <x:c r="E363" s="36"/>
      <x:c r="F363" s="36"/>
      <x:c r="G363" s="33"/>
      <x:c r="H363" s="33"/>
      <x:c r="I363" s="33"/>
      <x:c r="J363" s="33"/>
      <x:c r="K363" s="33"/>
      <x:c r="L363" s="33"/>
      <x:c r="M363" s="33"/>
      <x:c r="N363" s="37"/>
      <x:c r="O363" s="33"/>
      <x:c r="P363" s="33"/>
      <x:c r="Q363" s="33"/>
      <x:c r="R363" s="37"/>
      <x:c r="S363" s="33"/>
      <x:c r="T363" s="33"/>
      <x:c r="U363" s="33"/>
      <x:c r="V363" s="38"/>
      <x:c r="W363" s="34"/>
      <x:c r="X363" s="34"/>
      <x:c r="Y363" s="34"/>
      <x:c r="Z363" s="34"/>
      <x:c r="AA363" s="34"/>
      <x:c r="AB363" s="34"/>
      <x:c r="AC363" s="34"/>
      <x:c r="AD363" s="34"/>
      <x:c r="AE363" s="34"/>
      <x:c r="AF363" s="34"/>
      <x:c r="AG363" s="34"/>
      <x:c r="AH363" s="35" t="str">
        <x:f>IF(COUNTA(X363:AA363)&lt;4,"",ROUND((X363*20)*45%+(((Y363-1)/4*100)*30%+((Z363-1)/4*100)*25%+(1-(AA363-1)/4)*100*25%+(1-(MAX(1,AC363:AE363)-1)/4)*100*20%)*55%,0))</x:f>
      </x:c>
      <x:c r="AI363" s="35" t="str">
        <x:f>IF(AH363="","",IF(AH363&gt;=85,"Excelente",IF(AH363&gt;=70,"Adequado",IF(AH363&gt;=50,"Atenção","Crítico"))))</x:f>
      </x:c>
    </x:row>
    <x:row r="364">
      <x:c r="A364" s="33"/>
      <x:c r="B364" s="33"/>
      <x:c r="C364" s="33"/>
      <x:c r="D364" s="33"/>
      <x:c r="E364" s="36"/>
      <x:c r="F364" s="36"/>
      <x:c r="G364" s="33"/>
      <x:c r="H364" s="33"/>
      <x:c r="I364" s="33"/>
      <x:c r="J364" s="33"/>
      <x:c r="K364" s="33"/>
      <x:c r="L364" s="33"/>
      <x:c r="M364" s="33"/>
      <x:c r="N364" s="37"/>
      <x:c r="O364" s="33"/>
      <x:c r="P364" s="33"/>
      <x:c r="Q364" s="33"/>
      <x:c r="R364" s="37"/>
      <x:c r="S364" s="33"/>
      <x:c r="T364" s="33"/>
      <x:c r="U364" s="33"/>
      <x:c r="V364" s="38"/>
      <x:c r="W364" s="34"/>
      <x:c r="X364" s="34"/>
      <x:c r="Y364" s="34"/>
      <x:c r="Z364" s="34"/>
      <x:c r="AA364" s="34"/>
      <x:c r="AB364" s="34"/>
      <x:c r="AC364" s="34"/>
      <x:c r="AD364" s="34"/>
      <x:c r="AE364" s="34"/>
      <x:c r="AF364" s="34"/>
      <x:c r="AG364" s="34"/>
      <x:c r="AH364" s="35" t="str">
        <x:f>IF(COUNTA(X364:AA364)&lt;4,"",ROUND((X364*20)*45%+(((Y364-1)/4*100)*30%+((Z364-1)/4*100)*25%+(1-(AA364-1)/4)*100*25%+(1-(MAX(1,AC364:AE364)-1)/4)*100*20%)*55%,0))</x:f>
      </x:c>
      <x:c r="AI364" s="35" t="str">
        <x:f>IF(AH364="","",IF(AH364&gt;=85,"Excelente",IF(AH364&gt;=70,"Adequado",IF(AH364&gt;=50,"Atenção","Crítico"))))</x:f>
      </x:c>
    </x:row>
    <x:row r="365">
      <x:c r="A365" s="33"/>
      <x:c r="B365" s="33"/>
      <x:c r="C365" s="33"/>
      <x:c r="D365" s="33"/>
      <x:c r="E365" s="36"/>
      <x:c r="F365" s="36"/>
      <x:c r="G365" s="33"/>
      <x:c r="H365" s="33"/>
      <x:c r="I365" s="33"/>
      <x:c r="J365" s="33"/>
      <x:c r="K365" s="33"/>
      <x:c r="L365" s="33"/>
      <x:c r="M365" s="33"/>
      <x:c r="N365" s="37"/>
      <x:c r="O365" s="33"/>
      <x:c r="P365" s="33"/>
      <x:c r="Q365" s="33"/>
      <x:c r="R365" s="37"/>
      <x:c r="S365" s="33"/>
      <x:c r="T365" s="33"/>
      <x:c r="U365" s="33"/>
      <x:c r="V365" s="38"/>
      <x:c r="W365" s="34"/>
      <x:c r="X365" s="34"/>
      <x:c r="Y365" s="34"/>
      <x:c r="Z365" s="34"/>
      <x:c r="AA365" s="34"/>
      <x:c r="AB365" s="34"/>
      <x:c r="AC365" s="34"/>
      <x:c r="AD365" s="34"/>
      <x:c r="AE365" s="34"/>
      <x:c r="AF365" s="34"/>
      <x:c r="AG365" s="34"/>
      <x:c r="AH365" s="35" t="str">
        <x:f>IF(COUNTA(X365:AA365)&lt;4,"",ROUND((X365*20)*45%+(((Y365-1)/4*100)*30%+((Z365-1)/4*100)*25%+(1-(AA365-1)/4)*100*25%+(1-(MAX(1,AC365:AE365)-1)/4)*100*20%)*55%,0))</x:f>
      </x:c>
      <x:c r="AI365" s="35" t="str">
        <x:f>IF(AH365="","",IF(AH365&gt;=85,"Excelente",IF(AH365&gt;=70,"Adequado",IF(AH365&gt;=50,"Atenção","Crítico"))))</x:f>
      </x:c>
    </x:row>
    <x:row r="366">
      <x:c r="A366" s="33"/>
      <x:c r="B366" s="33"/>
      <x:c r="C366" s="33"/>
      <x:c r="D366" s="33"/>
      <x:c r="E366" s="36"/>
      <x:c r="F366" s="36"/>
      <x:c r="G366" s="33"/>
      <x:c r="H366" s="33"/>
      <x:c r="I366" s="33"/>
      <x:c r="J366" s="33"/>
      <x:c r="K366" s="33"/>
      <x:c r="L366" s="33"/>
      <x:c r="M366" s="33"/>
      <x:c r="N366" s="37"/>
      <x:c r="O366" s="33"/>
      <x:c r="P366" s="33"/>
      <x:c r="Q366" s="33"/>
      <x:c r="R366" s="37"/>
      <x:c r="S366" s="33"/>
      <x:c r="T366" s="33"/>
      <x:c r="U366" s="33"/>
      <x:c r="V366" s="38"/>
      <x:c r="W366" s="34"/>
      <x:c r="X366" s="34"/>
      <x:c r="Y366" s="34"/>
      <x:c r="Z366" s="34"/>
      <x:c r="AA366" s="34"/>
      <x:c r="AB366" s="34"/>
      <x:c r="AC366" s="34"/>
      <x:c r="AD366" s="34"/>
      <x:c r="AE366" s="34"/>
      <x:c r="AF366" s="34"/>
      <x:c r="AG366" s="34"/>
      <x:c r="AH366" s="35" t="str">
        <x:f>IF(COUNTA(X366:AA366)&lt;4,"",ROUND((X366*20)*45%+(((Y366-1)/4*100)*30%+((Z366-1)/4*100)*25%+(1-(AA366-1)/4)*100*25%+(1-(MAX(1,AC366:AE366)-1)/4)*100*20%)*55%,0))</x:f>
      </x:c>
      <x:c r="AI366" s="35" t="str">
        <x:f>IF(AH366="","",IF(AH366&gt;=85,"Excelente",IF(AH366&gt;=70,"Adequado",IF(AH366&gt;=50,"Atenção","Crítico"))))</x:f>
      </x:c>
    </x:row>
    <x:row r="367">
      <x:c r="A367" s="33"/>
      <x:c r="B367" s="33"/>
      <x:c r="C367" s="33"/>
      <x:c r="D367" s="33"/>
      <x:c r="E367" s="36"/>
      <x:c r="F367" s="36"/>
      <x:c r="G367" s="33"/>
      <x:c r="H367" s="33"/>
      <x:c r="I367" s="33"/>
      <x:c r="J367" s="33"/>
      <x:c r="K367" s="33"/>
      <x:c r="L367" s="33"/>
      <x:c r="M367" s="33"/>
      <x:c r="N367" s="37"/>
      <x:c r="O367" s="33"/>
      <x:c r="P367" s="33"/>
      <x:c r="Q367" s="33"/>
      <x:c r="R367" s="37"/>
      <x:c r="S367" s="33"/>
      <x:c r="T367" s="33"/>
      <x:c r="U367" s="33"/>
      <x:c r="V367" s="38"/>
      <x:c r="W367" s="34"/>
      <x:c r="X367" s="34"/>
      <x:c r="Y367" s="34"/>
      <x:c r="Z367" s="34"/>
      <x:c r="AA367" s="34"/>
      <x:c r="AB367" s="34"/>
      <x:c r="AC367" s="34"/>
      <x:c r="AD367" s="34"/>
      <x:c r="AE367" s="34"/>
      <x:c r="AF367" s="34"/>
      <x:c r="AG367" s="34"/>
      <x:c r="AH367" s="35" t="str">
        <x:f>IF(COUNTA(X367:AA367)&lt;4,"",ROUND((X367*20)*45%+(((Y367-1)/4*100)*30%+((Z367-1)/4*100)*25%+(1-(AA367-1)/4)*100*25%+(1-(MAX(1,AC367:AE367)-1)/4)*100*20%)*55%,0))</x:f>
      </x:c>
      <x:c r="AI367" s="35" t="str">
        <x:f>IF(AH367="","",IF(AH367&gt;=85,"Excelente",IF(AH367&gt;=70,"Adequado",IF(AH367&gt;=50,"Atenção","Crítico"))))</x:f>
      </x:c>
    </x:row>
    <x:row r="368">
      <x:c r="A368" s="33"/>
      <x:c r="B368" s="33"/>
      <x:c r="C368" s="33"/>
      <x:c r="D368" s="33"/>
      <x:c r="E368" s="36"/>
      <x:c r="F368" s="36"/>
      <x:c r="G368" s="33"/>
      <x:c r="H368" s="33"/>
      <x:c r="I368" s="33"/>
      <x:c r="J368" s="33"/>
      <x:c r="K368" s="33"/>
      <x:c r="L368" s="33"/>
      <x:c r="M368" s="33"/>
      <x:c r="N368" s="37"/>
      <x:c r="O368" s="33"/>
      <x:c r="P368" s="33"/>
      <x:c r="Q368" s="33"/>
      <x:c r="R368" s="37"/>
      <x:c r="S368" s="33"/>
      <x:c r="T368" s="33"/>
      <x:c r="U368" s="33"/>
      <x:c r="V368" s="38"/>
      <x:c r="W368" s="34"/>
      <x:c r="X368" s="34"/>
      <x:c r="Y368" s="34"/>
      <x:c r="Z368" s="34"/>
      <x:c r="AA368" s="34"/>
      <x:c r="AB368" s="34"/>
      <x:c r="AC368" s="34"/>
      <x:c r="AD368" s="34"/>
      <x:c r="AE368" s="34"/>
      <x:c r="AF368" s="34"/>
      <x:c r="AG368" s="34"/>
      <x:c r="AH368" s="35" t="str">
        <x:f>IF(COUNTA(X368:AA368)&lt;4,"",ROUND((X368*20)*45%+(((Y368-1)/4*100)*30%+((Z368-1)/4*100)*25%+(1-(AA368-1)/4)*100*25%+(1-(MAX(1,AC368:AE368)-1)/4)*100*20%)*55%,0))</x:f>
      </x:c>
      <x:c r="AI368" s="35" t="str">
        <x:f>IF(AH368="","",IF(AH368&gt;=85,"Excelente",IF(AH368&gt;=70,"Adequado",IF(AH368&gt;=50,"Atenção","Crítico"))))</x:f>
      </x:c>
    </x:row>
    <x:row r="369">
      <x:c r="A369" s="33"/>
      <x:c r="B369" s="33"/>
      <x:c r="C369" s="33"/>
      <x:c r="D369" s="33"/>
      <x:c r="E369" s="36"/>
      <x:c r="F369" s="36"/>
      <x:c r="G369" s="33"/>
      <x:c r="H369" s="33"/>
      <x:c r="I369" s="33"/>
      <x:c r="J369" s="33"/>
      <x:c r="K369" s="33"/>
      <x:c r="L369" s="33"/>
      <x:c r="M369" s="33"/>
      <x:c r="N369" s="37"/>
      <x:c r="O369" s="33"/>
      <x:c r="P369" s="33"/>
      <x:c r="Q369" s="33"/>
      <x:c r="R369" s="37"/>
      <x:c r="S369" s="33"/>
      <x:c r="T369" s="33"/>
      <x:c r="U369" s="33"/>
      <x:c r="V369" s="38"/>
      <x:c r="W369" s="34"/>
      <x:c r="X369" s="34"/>
      <x:c r="Y369" s="34"/>
      <x:c r="Z369" s="34"/>
      <x:c r="AA369" s="34"/>
      <x:c r="AB369" s="34"/>
      <x:c r="AC369" s="34"/>
      <x:c r="AD369" s="34"/>
      <x:c r="AE369" s="34"/>
      <x:c r="AF369" s="34"/>
      <x:c r="AG369" s="34"/>
      <x:c r="AH369" s="35" t="str">
        <x:f>IF(COUNTA(X369:AA369)&lt;4,"",ROUND((X369*20)*45%+(((Y369-1)/4*100)*30%+((Z369-1)/4*100)*25%+(1-(AA369-1)/4)*100*25%+(1-(MAX(1,AC369:AE369)-1)/4)*100*20%)*55%,0))</x:f>
      </x:c>
      <x:c r="AI369" s="35" t="str">
        <x:f>IF(AH369="","",IF(AH369&gt;=85,"Excelente",IF(AH369&gt;=70,"Adequado",IF(AH369&gt;=50,"Atenção","Crítico"))))</x:f>
      </x:c>
    </x:row>
    <x:row r="370">
      <x:c r="A370" s="33"/>
      <x:c r="B370" s="33"/>
      <x:c r="C370" s="33"/>
      <x:c r="D370" s="33"/>
      <x:c r="E370" s="36"/>
      <x:c r="F370" s="36"/>
      <x:c r="G370" s="33"/>
      <x:c r="H370" s="33"/>
      <x:c r="I370" s="33"/>
      <x:c r="J370" s="33"/>
      <x:c r="K370" s="33"/>
      <x:c r="L370" s="33"/>
      <x:c r="M370" s="33"/>
      <x:c r="N370" s="37"/>
      <x:c r="O370" s="33"/>
      <x:c r="P370" s="33"/>
      <x:c r="Q370" s="33"/>
      <x:c r="R370" s="37"/>
      <x:c r="S370" s="33"/>
      <x:c r="T370" s="33"/>
      <x:c r="U370" s="33"/>
      <x:c r="V370" s="38"/>
      <x:c r="W370" s="34"/>
      <x:c r="X370" s="34"/>
      <x:c r="Y370" s="34"/>
      <x:c r="Z370" s="34"/>
      <x:c r="AA370" s="34"/>
      <x:c r="AB370" s="34"/>
      <x:c r="AC370" s="34"/>
      <x:c r="AD370" s="34"/>
      <x:c r="AE370" s="34"/>
      <x:c r="AF370" s="34"/>
      <x:c r="AG370" s="34"/>
      <x:c r="AH370" s="35" t="str">
        <x:f>IF(COUNTA(X370:AA370)&lt;4,"",ROUND((X370*20)*45%+(((Y370-1)/4*100)*30%+((Z370-1)/4*100)*25%+(1-(AA370-1)/4)*100*25%+(1-(MAX(1,AC370:AE370)-1)/4)*100*20%)*55%,0))</x:f>
      </x:c>
      <x:c r="AI370" s="35" t="str">
        <x:f>IF(AH370="","",IF(AH370&gt;=85,"Excelente",IF(AH370&gt;=70,"Adequado",IF(AH370&gt;=50,"Atenção","Crítico"))))</x:f>
      </x:c>
    </x:row>
    <x:row r="371">
      <x:c r="A371" s="33"/>
      <x:c r="B371" s="33"/>
      <x:c r="C371" s="33"/>
      <x:c r="D371" s="33"/>
      <x:c r="E371" s="36"/>
      <x:c r="F371" s="36"/>
      <x:c r="G371" s="33"/>
      <x:c r="H371" s="33"/>
      <x:c r="I371" s="33"/>
      <x:c r="J371" s="33"/>
      <x:c r="K371" s="33"/>
      <x:c r="L371" s="33"/>
      <x:c r="M371" s="33"/>
      <x:c r="N371" s="37"/>
      <x:c r="O371" s="33"/>
      <x:c r="P371" s="33"/>
      <x:c r="Q371" s="33"/>
      <x:c r="R371" s="37"/>
      <x:c r="S371" s="33"/>
      <x:c r="T371" s="33"/>
      <x:c r="U371" s="33"/>
      <x:c r="V371" s="38"/>
      <x:c r="W371" s="34"/>
      <x:c r="X371" s="34"/>
      <x:c r="Y371" s="34"/>
      <x:c r="Z371" s="34"/>
      <x:c r="AA371" s="34"/>
      <x:c r="AB371" s="34"/>
      <x:c r="AC371" s="34"/>
      <x:c r="AD371" s="34"/>
      <x:c r="AE371" s="34"/>
      <x:c r="AF371" s="34"/>
      <x:c r="AG371" s="34"/>
      <x:c r="AH371" s="35" t="str">
        <x:f>IF(COUNTA(X371:AA371)&lt;4,"",ROUND((X371*20)*45%+(((Y371-1)/4*100)*30%+((Z371-1)/4*100)*25%+(1-(AA371-1)/4)*100*25%+(1-(MAX(1,AC371:AE371)-1)/4)*100*20%)*55%,0))</x:f>
      </x:c>
      <x:c r="AI371" s="35" t="str">
        <x:f>IF(AH371="","",IF(AH371&gt;=85,"Excelente",IF(AH371&gt;=70,"Adequado",IF(AH371&gt;=50,"Atenção","Crítico"))))</x:f>
      </x:c>
    </x:row>
    <x:row r="372">
      <x:c r="A372" s="33"/>
      <x:c r="B372" s="33"/>
      <x:c r="C372" s="33"/>
      <x:c r="D372" s="33"/>
      <x:c r="E372" s="36"/>
      <x:c r="F372" s="36"/>
      <x:c r="G372" s="33"/>
      <x:c r="H372" s="33"/>
      <x:c r="I372" s="33"/>
      <x:c r="J372" s="33"/>
      <x:c r="K372" s="33"/>
      <x:c r="L372" s="33"/>
      <x:c r="M372" s="33"/>
      <x:c r="N372" s="37"/>
      <x:c r="O372" s="33"/>
      <x:c r="P372" s="33"/>
      <x:c r="Q372" s="33"/>
      <x:c r="R372" s="37"/>
      <x:c r="S372" s="33"/>
      <x:c r="T372" s="33"/>
      <x:c r="U372" s="33"/>
      <x:c r="V372" s="38"/>
      <x:c r="W372" s="34"/>
      <x:c r="X372" s="34"/>
      <x:c r="Y372" s="34"/>
      <x:c r="Z372" s="34"/>
      <x:c r="AA372" s="34"/>
      <x:c r="AB372" s="34"/>
      <x:c r="AC372" s="34"/>
      <x:c r="AD372" s="34"/>
      <x:c r="AE372" s="34"/>
      <x:c r="AF372" s="34"/>
      <x:c r="AG372" s="34"/>
      <x:c r="AH372" s="35" t="str">
        <x:f>IF(COUNTA(X372:AA372)&lt;4,"",ROUND((X372*20)*45%+(((Y372-1)/4*100)*30%+((Z372-1)/4*100)*25%+(1-(AA372-1)/4)*100*25%+(1-(MAX(1,AC372:AE372)-1)/4)*100*20%)*55%,0))</x:f>
      </x:c>
      <x:c r="AI372" s="35" t="str">
        <x:f>IF(AH372="","",IF(AH372&gt;=85,"Excelente",IF(AH372&gt;=70,"Adequado",IF(AH372&gt;=50,"Atenção","Crítico"))))</x:f>
      </x:c>
    </x:row>
    <x:row r="373">
      <x:c r="A373" s="33"/>
      <x:c r="B373" s="33"/>
      <x:c r="C373" s="33"/>
      <x:c r="D373" s="33"/>
      <x:c r="E373" s="36"/>
      <x:c r="F373" s="36"/>
      <x:c r="G373" s="33"/>
      <x:c r="H373" s="33"/>
      <x:c r="I373" s="33"/>
      <x:c r="J373" s="33"/>
      <x:c r="K373" s="33"/>
      <x:c r="L373" s="33"/>
      <x:c r="M373" s="33"/>
      <x:c r="N373" s="37"/>
      <x:c r="O373" s="33"/>
      <x:c r="P373" s="33"/>
      <x:c r="Q373" s="33"/>
      <x:c r="R373" s="37"/>
      <x:c r="S373" s="33"/>
      <x:c r="T373" s="33"/>
      <x:c r="U373" s="33"/>
      <x:c r="V373" s="38"/>
      <x:c r="W373" s="34"/>
      <x:c r="X373" s="34"/>
      <x:c r="Y373" s="34"/>
      <x:c r="Z373" s="34"/>
      <x:c r="AA373" s="34"/>
      <x:c r="AB373" s="34"/>
      <x:c r="AC373" s="34"/>
      <x:c r="AD373" s="34"/>
      <x:c r="AE373" s="34"/>
      <x:c r="AF373" s="34"/>
      <x:c r="AG373" s="34"/>
      <x:c r="AH373" s="35" t="str">
        <x:f>IF(COUNTA(X373:AA373)&lt;4,"",ROUND((X373*20)*45%+(((Y373-1)/4*100)*30%+((Z373-1)/4*100)*25%+(1-(AA373-1)/4)*100*25%+(1-(MAX(1,AC373:AE373)-1)/4)*100*20%)*55%,0))</x:f>
      </x:c>
      <x:c r="AI373" s="35" t="str">
        <x:f>IF(AH373="","",IF(AH373&gt;=85,"Excelente",IF(AH373&gt;=70,"Adequado",IF(AH373&gt;=50,"Atenção","Crítico"))))</x:f>
      </x:c>
    </x:row>
    <x:row r="374">
      <x:c r="A374" s="33"/>
      <x:c r="B374" s="33"/>
      <x:c r="C374" s="33"/>
      <x:c r="D374" s="33"/>
      <x:c r="E374" s="36"/>
      <x:c r="F374" s="36"/>
      <x:c r="G374" s="33"/>
      <x:c r="H374" s="33"/>
      <x:c r="I374" s="33"/>
      <x:c r="J374" s="33"/>
      <x:c r="K374" s="33"/>
      <x:c r="L374" s="33"/>
      <x:c r="M374" s="33"/>
      <x:c r="N374" s="37"/>
      <x:c r="O374" s="33"/>
      <x:c r="P374" s="33"/>
      <x:c r="Q374" s="33"/>
      <x:c r="R374" s="37"/>
      <x:c r="S374" s="33"/>
      <x:c r="T374" s="33"/>
      <x:c r="U374" s="33"/>
      <x:c r="V374" s="38"/>
      <x:c r="W374" s="34"/>
      <x:c r="X374" s="34"/>
      <x:c r="Y374" s="34"/>
      <x:c r="Z374" s="34"/>
      <x:c r="AA374" s="34"/>
      <x:c r="AB374" s="34"/>
      <x:c r="AC374" s="34"/>
      <x:c r="AD374" s="34"/>
      <x:c r="AE374" s="34"/>
      <x:c r="AF374" s="34"/>
      <x:c r="AG374" s="34"/>
      <x:c r="AH374" s="35" t="str">
        <x:f>IF(COUNTA(X374:AA374)&lt;4,"",ROUND((X374*20)*45%+(((Y374-1)/4*100)*30%+((Z374-1)/4*100)*25%+(1-(AA374-1)/4)*100*25%+(1-(MAX(1,AC374:AE374)-1)/4)*100*20%)*55%,0))</x:f>
      </x:c>
      <x:c r="AI374" s="35" t="str">
        <x:f>IF(AH374="","",IF(AH374&gt;=85,"Excelente",IF(AH374&gt;=70,"Adequado",IF(AH374&gt;=50,"Atenção","Crítico"))))</x:f>
      </x:c>
    </x:row>
    <x:row r="375">
      <x:c r="A375" s="33"/>
      <x:c r="B375" s="33"/>
      <x:c r="C375" s="33"/>
      <x:c r="D375" s="33"/>
      <x:c r="E375" s="36"/>
      <x:c r="F375" s="36"/>
      <x:c r="G375" s="33"/>
      <x:c r="H375" s="33"/>
      <x:c r="I375" s="33"/>
      <x:c r="J375" s="33"/>
      <x:c r="K375" s="33"/>
      <x:c r="L375" s="33"/>
      <x:c r="M375" s="33"/>
      <x:c r="N375" s="37"/>
      <x:c r="O375" s="33"/>
      <x:c r="P375" s="33"/>
      <x:c r="Q375" s="33"/>
      <x:c r="R375" s="37"/>
      <x:c r="S375" s="33"/>
      <x:c r="T375" s="33"/>
      <x:c r="U375" s="33"/>
      <x:c r="V375" s="38"/>
      <x:c r="W375" s="34"/>
      <x:c r="X375" s="34"/>
      <x:c r="Y375" s="34"/>
      <x:c r="Z375" s="34"/>
      <x:c r="AA375" s="34"/>
      <x:c r="AB375" s="34"/>
      <x:c r="AC375" s="34"/>
      <x:c r="AD375" s="34"/>
      <x:c r="AE375" s="34"/>
      <x:c r="AF375" s="34"/>
      <x:c r="AG375" s="34"/>
      <x:c r="AH375" s="35" t="str">
        <x:f>IF(COUNTA(X375:AA375)&lt;4,"",ROUND((X375*20)*45%+(((Y375-1)/4*100)*30%+((Z375-1)/4*100)*25%+(1-(AA375-1)/4)*100*25%+(1-(MAX(1,AC375:AE375)-1)/4)*100*20%)*55%,0))</x:f>
      </x:c>
      <x:c r="AI375" s="35" t="str">
        <x:f>IF(AH375="","",IF(AH375&gt;=85,"Excelente",IF(AH375&gt;=70,"Adequado",IF(AH375&gt;=50,"Atenção","Crítico"))))</x:f>
      </x:c>
    </x:row>
    <x:row r="376">
      <x:c r="A376" s="33"/>
      <x:c r="B376" s="33"/>
      <x:c r="C376" s="33"/>
      <x:c r="D376" s="33"/>
      <x:c r="E376" s="36"/>
      <x:c r="F376" s="36"/>
      <x:c r="G376" s="33"/>
      <x:c r="H376" s="33"/>
      <x:c r="I376" s="33"/>
      <x:c r="J376" s="33"/>
      <x:c r="K376" s="33"/>
      <x:c r="L376" s="33"/>
      <x:c r="M376" s="33"/>
      <x:c r="N376" s="37"/>
      <x:c r="O376" s="33"/>
      <x:c r="P376" s="33"/>
      <x:c r="Q376" s="33"/>
      <x:c r="R376" s="37"/>
      <x:c r="S376" s="33"/>
      <x:c r="T376" s="33"/>
      <x:c r="U376" s="33"/>
      <x:c r="V376" s="38"/>
      <x:c r="W376" s="34"/>
      <x:c r="X376" s="34"/>
      <x:c r="Y376" s="34"/>
      <x:c r="Z376" s="34"/>
      <x:c r="AA376" s="34"/>
      <x:c r="AB376" s="34"/>
      <x:c r="AC376" s="34"/>
      <x:c r="AD376" s="34"/>
      <x:c r="AE376" s="34"/>
      <x:c r="AF376" s="34"/>
      <x:c r="AG376" s="34"/>
      <x:c r="AH376" s="35" t="str">
        <x:f>IF(COUNTA(X376:AA376)&lt;4,"",ROUND((X376*20)*45%+(((Y376-1)/4*100)*30%+((Z376-1)/4*100)*25%+(1-(AA376-1)/4)*100*25%+(1-(MAX(1,AC376:AE376)-1)/4)*100*20%)*55%,0))</x:f>
      </x:c>
      <x:c r="AI376" s="35" t="str">
        <x:f>IF(AH376="","",IF(AH376&gt;=85,"Excelente",IF(AH376&gt;=70,"Adequado",IF(AH376&gt;=50,"Atenção","Crítico"))))</x:f>
      </x:c>
    </x:row>
    <x:row r="377">
      <x:c r="A377" s="33"/>
      <x:c r="B377" s="33"/>
      <x:c r="C377" s="33"/>
      <x:c r="D377" s="33"/>
      <x:c r="E377" s="36"/>
      <x:c r="F377" s="36"/>
      <x:c r="G377" s="33"/>
      <x:c r="H377" s="33"/>
      <x:c r="I377" s="33"/>
      <x:c r="J377" s="33"/>
      <x:c r="K377" s="33"/>
      <x:c r="L377" s="33"/>
      <x:c r="M377" s="33"/>
      <x:c r="N377" s="37"/>
      <x:c r="O377" s="33"/>
      <x:c r="P377" s="33"/>
      <x:c r="Q377" s="33"/>
      <x:c r="R377" s="37"/>
      <x:c r="S377" s="33"/>
      <x:c r="T377" s="33"/>
      <x:c r="U377" s="33"/>
      <x:c r="V377" s="38"/>
      <x:c r="W377" s="34"/>
      <x:c r="X377" s="34"/>
      <x:c r="Y377" s="34"/>
      <x:c r="Z377" s="34"/>
      <x:c r="AA377" s="34"/>
      <x:c r="AB377" s="34"/>
      <x:c r="AC377" s="34"/>
      <x:c r="AD377" s="34"/>
      <x:c r="AE377" s="34"/>
      <x:c r="AF377" s="34"/>
      <x:c r="AG377" s="34"/>
      <x:c r="AH377" s="35" t="str">
        <x:f>IF(COUNTA(X377:AA377)&lt;4,"",ROUND((X377*20)*45%+(((Y377-1)/4*100)*30%+((Z377-1)/4*100)*25%+(1-(AA377-1)/4)*100*25%+(1-(MAX(1,AC377:AE377)-1)/4)*100*20%)*55%,0))</x:f>
      </x:c>
      <x:c r="AI377" s="35" t="str">
        <x:f>IF(AH377="","",IF(AH377&gt;=85,"Excelente",IF(AH377&gt;=70,"Adequado",IF(AH377&gt;=50,"Atenção","Crítico"))))</x:f>
      </x:c>
    </x:row>
    <x:row r="378">
      <x:c r="A378" s="33"/>
      <x:c r="B378" s="33"/>
      <x:c r="C378" s="33"/>
      <x:c r="D378" s="33"/>
      <x:c r="E378" s="36"/>
      <x:c r="F378" s="36"/>
      <x:c r="G378" s="33"/>
      <x:c r="H378" s="33"/>
      <x:c r="I378" s="33"/>
      <x:c r="J378" s="33"/>
      <x:c r="K378" s="33"/>
      <x:c r="L378" s="33"/>
      <x:c r="M378" s="33"/>
      <x:c r="N378" s="37"/>
      <x:c r="O378" s="33"/>
      <x:c r="P378" s="33"/>
      <x:c r="Q378" s="33"/>
      <x:c r="R378" s="37"/>
      <x:c r="S378" s="33"/>
      <x:c r="T378" s="33"/>
      <x:c r="U378" s="33"/>
      <x:c r="V378" s="38"/>
      <x:c r="W378" s="34"/>
      <x:c r="X378" s="34"/>
      <x:c r="Y378" s="34"/>
      <x:c r="Z378" s="34"/>
      <x:c r="AA378" s="34"/>
      <x:c r="AB378" s="34"/>
      <x:c r="AC378" s="34"/>
      <x:c r="AD378" s="34"/>
      <x:c r="AE378" s="34"/>
      <x:c r="AF378" s="34"/>
      <x:c r="AG378" s="34"/>
      <x:c r="AH378" s="35" t="str">
        <x:f>IF(COUNTA(X378:AA378)&lt;4,"",ROUND((X378*20)*45%+(((Y378-1)/4*100)*30%+((Z378-1)/4*100)*25%+(1-(AA378-1)/4)*100*25%+(1-(MAX(1,AC378:AE378)-1)/4)*100*20%)*55%,0))</x:f>
      </x:c>
      <x:c r="AI378" s="35" t="str">
        <x:f>IF(AH378="","",IF(AH378&gt;=85,"Excelente",IF(AH378&gt;=70,"Adequado",IF(AH378&gt;=50,"Atenção","Crítico"))))</x:f>
      </x:c>
    </x:row>
    <x:row r="379">
      <x:c r="A379" s="33"/>
      <x:c r="B379" s="33"/>
      <x:c r="C379" s="33"/>
      <x:c r="D379" s="33"/>
      <x:c r="E379" s="36"/>
      <x:c r="F379" s="36"/>
      <x:c r="G379" s="33"/>
      <x:c r="H379" s="33"/>
      <x:c r="I379" s="33"/>
      <x:c r="J379" s="33"/>
      <x:c r="K379" s="33"/>
      <x:c r="L379" s="33"/>
      <x:c r="M379" s="33"/>
      <x:c r="N379" s="37"/>
      <x:c r="O379" s="33"/>
      <x:c r="P379" s="33"/>
      <x:c r="Q379" s="33"/>
      <x:c r="R379" s="37"/>
      <x:c r="S379" s="33"/>
      <x:c r="T379" s="33"/>
      <x:c r="U379" s="33"/>
      <x:c r="V379" s="38"/>
      <x:c r="W379" s="34"/>
      <x:c r="X379" s="34"/>
      <x:c r="Y379" s="34"/>
      <x:c r="Z379" s="34"/>
      <x:c r="AA379" s="34"/>
      <x:c r="AB379" s="34"/>
      <x:c r="AC379" s="34"/>
      <x:c r="AD379" s="34"/>
      <x:c r="AE379" s="34"/>
      <x:c r="AF379" s="34"/>
      <x:c r="AG379" s="34"/>
      <x:c r="AH379" s="35" t="str">
        <x:f>IF(COUNTA(X379:AA379)&lt;4,"",ROUND((X379*20)*45%+(((Y379-1)/4*100)*30%+((Z379-1)/4*100)*25%+(1-(AA379-1)/4)*100*25%+(1-(MAX(1,AC379:AE379)-1)/4)*100*20%)*55%,0))</x:f>
      </x:c>
      <x:c r="AI379" s="35" t="str">
        <x:f>IF(AH379="","",IF(AH379&gt;=85,"Excelente",IF(AH379&gt;=70,"Adequado",IF(AH379&gt;=50,"Atenção","Crítico"))))</x:f>
      </x:c>
    </x:row>
    <x:row r="380">
      <x:c r="A380" s="33"/>
      <x:c r="B380" s="33"/>
      <x:c r="C380" s="33"/>
      <x:c r="D380" s="33"/>
      <x:c r="E380" s="36"/>
      <x:c r="F380" s="36"/>
      <x:c r="G380" s="33"/>
      <x:c r="H380" s="33"/>
      <x:c r="I380" s="33"/>
      <x:c r="J380" s="33"/>
      <x:c r="K380" s="33"/>
      <x:c r="L380" s="33"/>
      <x:c r="M380" s="33"/>
      <x:c r="N380" s="37"/>
      <x:c r="O380" s="33"/>
      <x:c r="P380" s="33"/>
      <x:c r="Q380" s="33"/>
      <x:c r="R380" s="37"/>
      <x:c r="S380" s="33"/>
      <x:c r="T380" s="33"/>
      <x:c r="U380" s="33"/>
      <x:c r="V380" s="38"/>
      <x:c r="W380" s="34"/>
      <x:c r="X380" s="34"/>
      <x:c r="Y380" s="34"/>
      <x:c r="Z380" s="34"/>
      <x:c r="AA380" s="34"/>
      <x:c r="AB380" s="34"/>
      <x:c r="AC380" s="34"/>
      <x:c r="AD380" s="34"/>
      <x:c r="AE380" s="34"/>
      <x:c r="AF380" s="34"/>
      <x:c r="AG380" s="34"/>
      <x:c r="AH380" s="35" t="str">
        <x:f>IF(COUNTA(X380:AA380)&lt;4,"",ROUND((X380*20)*45%+(((Y380-1)/4*100)*30%+((Z380-1)/4*100)*25%+(1-(AA380-1)/4)*100*25%+(1-(MAX(1,AC380:AE380)-1)/4)*100*20%)*55%,0))</x:f>
      </x:c>
      <x:c r="AI380" s="35" t="str">
        <x:f>IF(AH380="","",IF(AH380&gt;=85,"Excelente",IF(AH380&gt;=70,"Adequado",IF(AH380&gt;=50,"Atenção","Crítico"))))</x:f>
      </x:c>
    </x:row>
    <x:row r="381">
      <x:c r="A381" s="33"/>
      <x:c r="B381" s="33"/>
      <x:c r="C381" s="33"/>
      <x:c r="D381" s="33"/>
      <x:c r="E381" s="36"/>
      <x:c r="F381" s="36"/>
      <x:c r="G381" s="33"/>
      <x:c r="H381" s="33"/>
      <x:c r="I381" s="33"/>
      <x:c r="J381" s="33"/>
      <x:c r="K381" s="33"/>
      <x:c r="L381" s="33"/>
      <x:c r="M381" s="33"/>
      <x:c r="N381" s="37"/>
      <x:c r="O381" s="33"/>
      <x:c r="P381" s="33"/>
      <x:c r="Q381" s="33"/>
      <x:c r="R381" s="37"/>
      <x:c r="S381" s="33"/>
      <x:c r="T381" s="33"/>
      <x:c r="U381" s="33"/>
      <x:c r="V381" s="38"/>
      <x:c r="W381" s="34"/>
      <x:c r="X381" s="34"/>
      <x:c r="Y381" s="34"/>
      <x:c r="Z381" s="34"/>
      <x:c r="AA381" s="34"/>
      <x:c r="AB381" s="34"/>
      <x:c r="AC381" s="34"/>
      <x:c r="AD381" s="34"/>
      <x:c r="AE381" s="34"/>
      <x:c r="AF381" s="34"/>
      <x:c r="AG381" s="34"/>
      <x:c r="AH381" s="35" t="str">
        <x:f>IF(COUNTA(X381:AA381)&lt;4,"",ROUND((X381*20)*45%+(((Y381-1)/4*100)*30%+((Z381-1)/4*100)*25%+(1-(AA381-1)/4)*100*25%+(1-(MAX(1,AC381:AE381)-1)/4)*100*20%)*55%,0))</x:f>
      </x:c>
      <x:c r="AI381" s="35" t="str">
        <x:f>IF(AH381="","",IF(AH381&gt;=85,"Excelente",IF(AH381&gt;=70,"Adequado",IF(AH381&gt;=50,"Atenção","Crítico"))))</x:f>
      </x:c>
    </x:row>
    <x:row r="382">
      <x:c r="A382" s="33"/>
      <x:c r="B382" s="33"/>
      <x:c r="C382" s="33"/>
      <x:c r="D382" s="33"/>
      <x:c r="E382" s="36"/>
      <x:c r="F382" s="36"/>
      <x:c r="G382" s="33"/>
      <x:c r="H382" s="33"/>
      <x:c r="I382" s="33"/>
      <x:c r="J382" s="33"/>
      <x:c r="K382" s="33"/>
      <x:c r="L382" s="33"/>
      <x:c r="M382" s="33"/>
      <x:c r="N382" s="37"/>
      <x:c r="O382" s="33"/>
      <x:c r="P382" s="33"/>
      <x:c r="Q382" s="33"/>
      <x:c r="R382" s="37"/>
      <x:c r="S382" s="33"/>
      <x:c r="T382" s="33"/>
      <x:c r="U382" s="33"/>
      <x:c r="V382" s="38"/>
      <x:c r="W382" s="34"/>
      <x:c r="X382" s="34"/>
      <x:c r="Y382" s="34"/>
      <x:c r="Z382" s="34"/>
      <x:c r="AA382" s="34"/>
      <x:c r="AB382" s="34"/>
      <x:c r="AC382" s="34"/>
      <x:c r="AD382" s="34"/>
      <x:c r="AE382" s="34"/>
      <x:c r="AF382" s="34"/>
      <x:c r="AG382" s="34"/>
      <x:c r="AH382" s="35" t="str">
        <x:f>IF(COUNTA(X382:AA382)&lt;4,"",ROUND((X382*20)*45%+(((Y382-1)/4*100)*30%+((Z382-1)/4*100)*25%+(1-(AA382-1)/4)*100*25%+(1-(MAX(1,AC382:AE382)-1)/4)*100*20%)*55%,0))</x:f>
      </x:c>
      <x:c r="AI382" s="35" t="str">
        <x:f>IF(AH382="","",IF(AH382&gt;=85,"Excelente",IF(AH382&gt;=70,"Adequado",IF(AH382&gt;=50,"Atenção","Crítico"))))</x:f>
      </x:c>
    </x:row>
    <x:row r="383">
      <x:c r="A383" s="33"/>
      <x:c r="B383" s="33"/>
      <x:c r="C383" s="33"/>
      <x:c r="D383" s="33"/>
      <x:c r="E383" s="36"/>
      <x:c r="F383" s="36"/>
      <x:c r="G383" s="33"/>
      <x:c r="H383" s="33"/>
      <x:c r="I383" s="33"/>
      <x:c r="J383" s="33"/>
      <x:c r="K383" s="33"/>
      <x:c r="L383" s="33"/>
      <x:c r="M383" s="33"/>
      <x:c r="N383" s="37"/>
      <x:c r="O383" s="33"/>
      <x:c r="P383" s="33"/>
      <x:c r="Q383" s="33"/>
      <x:c r="R383" s="37"/>
      <x:c r="S383" s="33"/>
      <x:c r="T383" s="33"/>
      <x:c r="U383" s="33"/>
      <x:c r="V383" s="38"/>
      <x:c r="W383" s="34"/>
      <x:c r="X383" s="34"/>
      <x:c r="Y383" s="34"/>
      <x:c r="Z383" s="34"/>
      <x:c r="AA383" s="34"/>
      <x:c r="AB383" s="34"/>
      <x:c r="AC383" s="34"/>
      <x:c r="AD383" s="34"/>
      <x:c r="AE383" s="34"/>
      <x:c r="AF383" s="34"/>
      <x:c r="AG383" s="34"/>
      <x:c r="AH383" s="35" t="str">
        <x:f>IF(COUNTA(X383:AA383)&lt;4,"",ROUND((X383*20)*45%+(((Y383-1)/4*100)*30%+((Z383-1)/4*100)*25%+(1-(AA383-1)/4)*100*25%+(1-(MAX(1,AC383:AE383)-1)/4)*100*20%)*55%,0))</x:f>
      </x:c>
      <x:c r="AI383" s="35" t="str">
        <x:f>IF(AH383="","",IF(AH383&gt;=85,"Excelente",IF(AH383&gt;=70,"Adequado",IF(AH383&gt;=50,"Atenção","Crítico"))))</x:f>
      </x:c>
    </x:row>
    <x:row r="384">
      <x:c r="A384" s="33"/>
      <x:c r="B384" s="33"/>
      <x:c r="C384" s="33"/>
      <x:c r="D384" s="33"/>
      <x:c r="E384" s="36"/>
      <x:c r="F384" s="36"/>
      <x:c r="G384" s="33"/>
      <x:c r="H384" s="33"/>
      <x:c r="I384" s="33"/>
      <x:c r="J384" s="33"/>
      <x:c r="K384" s="33"/>
      <x:c r="L384" s="33"/>
      <x:c r="M384" s="33"/>
      <x:c r="N384" s="37"/>
      <x:c r="O384" s="33"/>
      <x:c r="P384" s="33"/>
      <x:c r="Q384" s="33"/>
      <x:c r="R384" s="37"/>
      <x:c r="S384" s="33"/>
      <x:c r="T384" s="33"/>
      <x:c r="U384" s="33"/>
      <x:c r="V384" s="38"/>
      <x:c r="W384" s="34"/>
      <x:c r="X384" s="34"/>
      <x:c r="Y384" s="34"/>
      <x:c r="Z384" s="34"/>
      <x:c r="AA384" s="34"/>
      <x:c r="AB384" s="34"/>
      <x:c r="AC384" s="34"/>
      <x:c r="AD384" s="34"/>
      <x:c r="AE384" s="34"/>
      <x:c r="AF384" s="34"/>
      <x:c r="AG384" s="34"/>
      <x:c r="AH384" s="35" t="str">
        <x:f>IF(COUNTA(X384:AA384)&lt;4,"",ROUND((X384*20)*45%+(((Y384-1)/4*100)*30%+((Z384-1)/4*100)*25%+(1-(AA384-1)/4)*100*25%+(1-(MAX(1,AC384:AE384)-1)/4)*100*20%)*55%,0))</x:f>
      </x:c>
      <x:c r="AI384" s="35" t="str">
        <x:f>IF(AH384="","",IF(AH384&gt;=85,"Excelente",IF(AH384&gt;=70,"Adequado",IF(AH384&gt;=50,"Atenção","Crítico"))))</x:f>
      </x:c>
    </x:row>
    <x:row r="385">
      <x:c r="A385" s="33"/>
      <x:c r="B385" s="33"/>
      <x:c r="C385" s="33"/>
      <x:c r="D385" s="33"/>
      <x:c r="E385" s="36"/>
      <x:c r="F385" s="36"/>
      <x:c r="G385" s="33"/>
      <x:c r="H385" s="33"/>
      <x:c r="I385" s="33"/>
      <x:c r="J385" s="33"/>
      <x:c r="K385" s="33"/>
      <x:c r="L385" s="33"/>
      <x:c r="M385" s="33"/>
      <x:c r="N385" s="37"/>
      <x:c r="O385" s="33"/>
      <x:c r="P385" s="33"/>
      <x:c r="Q385" s="33"/>
      <x:c r="R385" s="37"/>
      <x:c r="S385" s="33"/>
      <x:c r="T385" s="33"/>
      <x:c r="U385" s="33"/>
      <x:c r="V385" s="38"/>
      <x:c r="W385" s="34"/>
      <x:c r="X385" s="34"/>
      <x:c r="Y385" s="34"/>
      <x:c r="Z385" s="34"/>
      <x:c r="AA385" s="34"/>
      <x:c r="AB385" s="34"/>
      <x:c r="AC385" s="34"/>
      <x:c r="AD385" s="34"/>
      <x:c r="AE385" s="34"/>
      <x:c r="AF385" s="34"/>
      <x:c r="AG385" s="34"/>
      <x:c r="AH385" s="35" t="str">
        <x:f>IF(COUNTA(X385:AA385)&lt;4,"",ROUND((X385*20)*45%+(((Y385-1)/4*100)*30%+((Z385-1)/4*100)*25%+(1-(AA385-1)/4)*100*25%+(1-(MAX(1,AC385:AE385)-1)/4)*100*20%)*55%,0))</x:f>
      </x:c>
      <x:c r="AI385" s="35" t="str">
        <x:f>IF(AH385="","",IF(AH385&gt;=85,"Excelente",IF(AH385&gt;=70,"Adequado",IF(AH385&gt;=50,"Atenção","Crítico"))))</x:f>
      </x:c>
    </x:row>
    <x:row r="386">
      <x:c r="A386" s="33"/>
      <x:c r="B386" s="33"/>
      <x:c r="C386" s="33"/>
      <x:c r="D386" s="33"/>
      <x:c r="E386" s="36"/>
      <x:c r="F386" s="36"/>
      <x:c r="G386" s="33"/>
      <x:c r="H386" s="33"/>
      <x:c r="I386" s="33"/>
      <x:c r="J386" s="33"/>
      <x:c r="K386" s="33"/>
      <x:c r="L386" s="33"/>
      <x:c r="M386" s="33"/>
      <x:c r="N386" s="37"/>
      <x:c r="O386" s="33"/>
      <x:c r="P386" s="33"/>
      <x:c r="Q386" s="33"/>
      <x:c r="R386" s="37"/>
      <x:c r="S386" s="33"/>
      <x:c r="T386" s="33"/>
      <x:c r="U386" s="33"/>
      <x:c r="V386" s="38"/>
      <x:c r="W386" s="34"/>
      <x:c r="X386" s="34"/>
      <x:c r="Y386" s="34"/>
      <x:c r="Z386" s="34"/>
      <x:c r="AA386" s="34"/>
      <x:c r="AB386" s="34"/>
      <x:c r="AC386" s="34"/>
      <x:c r="AD386" s="34"/>
      <x:c r="AE386" s="34"/>
      <x:c r="AF386" s="34"/>
      <x:c r="AG386" s="34"/>
      <x:c r="AH386" s="35" t="str">
        <x:f>IF(COUNTA(X386:AA386)&lt;4,"",ROUND((X386*20)*45%+(((Y386-1)/4*100)*30%+((Z386-1)/4*100)*25%+(1-(AA386-1)/4)*100*25%+(1-(MAX(1,AC386:AE386)-1)/4)*100*20%)*55%,0))</x:f>
      </x:c>
      <x:c r="AI386" s="35" t="str">
        <x:f>IF(AH386="","",IF(AH386&gt;=85,"Excelente",IF(AH386&gt;=70,"Adequado",IF(AH386&gt;=50,"Atenção","Crítico"))))</x:f>
      </x:c>
    </x:row>
    <x:row r="387">
      <x:c r="A387" s="33"/>
      <x:c r="B387" s="33"/>
      <x:c r="C387" s="33"/>
      <x:c r="D387" s="33"/>
      <x:c r="E387" s="36"/>
      <x:c r="F387" s="36"/>
      <x:c r="G387" s="33"/>
      <x:c r="H387" s="33"/>
      <x:c r="I387" s="33"/>
      <x:c r="J387" s="33"/>
      <x:c r="K387" s="33"/>
      <x:c r="L387" s="33"/>
      <x:c r="M387" s="33"/>
      <x:c r="N387" s="37"/>
      <x:c r="O387" s="33"/>
      <x:c r="P387" s="33"/>
      <x:c r="Q387" s="33"/>
      <x:c r="R387" s="37"/>
      <x:c r="S387" s="33"/>
      <x:c r="T387" s="33"/>
      <x:c r="U387" s="33"/>
      <x:c r="V387" s="38"/>
      <x:c r="W387" s="34"/>
      <x:c r="X387" s="34"/>
      <x:c r="Y387" s="34"/>
      <x:c r="Z387" s="34"/>
      <x:c r="AA387" s="34"/>
      <x:c r="AB387" s="34"/>
      <x:c r="AC387" s="34"/>
      <x:c r="AD387" s="34"/>
      <x:c r="AE387" s="34"/>
      <x:c r="AF387" s="34"/>
      <x:c r="AG387" s="34"/>
      <x:c r="AH387" s="35" t="str">
        <x:f>IF(COUNTA(X387:AA387)&lt;4,"",ROUND((X387*20)*45%+(((Y387-1)/4*100)*30%+((Z387-1)/4*100)*25%+(1-(AA387-1)/4)*100*25%+(1-(MAX(1,AC387:AE387)-1)/4)*100*20%)*55%,0))</x:f>
      </x:c>
      <x:c r="AI387" s="35" t="str">
        <x:f>IF(AH387="","",IF(AH387&gt;=85,"Excelente",IF(AH387&gt;=70,"Adequado",IF(AH387&gt;=50,"Atenção","Crítico"))))</x:f>
      </x:c>
    </x:row>
    <x:row r="388">
      <x:c r="A388" s="33"/>
      <x:c r="B388" s="33"/>
      <x:c r="C388" s="33"/>
      <x:c r="D388" s="33"/>
      <x:c r="E388" s="36"/>
      <x:c r="F388" s="36"/>
      <x:c r="G388" s="33"/>
      <x:c r="H388" s="33"/>
      <x:c r="I388" s="33"/>
      <x:c r="J388" s="33"/>
      <x:c r="K388" s="33"/>
      <x:c r="L388" s="33"/>
      <x:c r="M388" s="33"/>
      <x:c r="N388" s="37"/>
      <x:c r="O388" s="33"/>
      <x:c r="P388" s="33"/>
      <x:c r="Q388" s="33"/>
      <x:c r="R388" s="37"/>
      <x:c r="S388" s="33"/>
      <x:c r="T388" s="33"/>
      <x:c r="U388" s="33"/>
      <x:c r="V388" s="38"/>
      <x:c r="W388" s="34"/>
      <x:c r="X388" s="34"/>
      <x:c r="Y388" s="34"/>
      <x:c r="Z388" s="34"/>
      <x:c r="AA388" s="34"/>
      <x:c r="AB388" s="34"/>
      <x:c r="AC388" s="34"/>
      <x:c r="AD388" s="34"/>
      <x:c r="AE388" s="34"/>
      <x:c r="AF388" s="34"/>
      <x:c r="AG388" s="34"/>
      <x:c r="AH388" s="35" t="str">
        <x:f>IF(COUNTA(X388:AA388)&lt;4,"",ROUND((X388*20)*45%+(((Y388-1)/4*100)*30%+((Z388-1)/4*100)*25%+(1-(AA388-1)/4)*100*25%+(1-(MAX(1,AC388:AE388)-1)/4)*100*20%)*55%,0))</x:f>
      </x:c>
      <x:c r="AI388" s="35" t="str">
        <x:f>IF(AH388="","",IF(AH388&gt;=85,"Excelente",IF(AH388&gt;=70,"Adequado",IF(AH388&gt;=50,"Atenção","Crítico"))))</x:f>
      </x:c>
    </x:row>
    <x:row r="389">
      <x:c r="A389" s="33"/>
      <x:c r="B389" s="33"/>
      <x:c r="C389" s="33"/>
      <x:c r="D389" s="33"/>
      <x:c r="E389" s="36"/>
      <x:c r="F389" s="36"/>
      <x:c r="G389" s="33"/>
      <x:c r="H389" s="33"/>
      <x:c r="I389" s="33"/>
      <x:c r="J389" s="33"/>
      <x:c r="K389" s="33"/>
      <x:c r="L389" s="33"/>
      <x:c r="M389" s="33"/>
      <x:c r="N389" s="37"/>
      <x:c r="O389" s="33"/>
      <x:c r="P389" s="33"/>
      <x:c r="Q389" s="33"/>
      <x:c r="R389" s="37"/>
      <x:c r="S389" s="33"/>
      <x:c r="T389" s="33"/>
      <x:c r="U389" s="33"/>
      <x:c r="V389" s="38"/>
      <x:c r="W389" s="34"/>
      <x:c r="X389" s="34"/>
      <x:c r="Y389" s="34"/>
      <x:c r="Z389" s="34"/>
      <x:c r="AA389" s="34"/>
      <x:c r="AB389" s="34"/>
      <x:c r="AC389" s="34"/>
      <x:c r="AD389" s="34"/>
      <x:c r="AE389" s="34"/>
      <x:c r="AF389" s="34"/>
      <x:c r="AG389" s="34"/>
      <x:c r="AH389" s="35" t="str">
        <x:f>IF(COUNTA(X389:AA389)&lt;4,"",ROUND((X389*20)*45%+(((Y389-1)/4*100)*30%+((Z389-1)/4*100)*25%+(1-(AA389-1)/4)*100*25%+(1-(MAX(1,AC389:AE389)-1)/4)*100*20%)*55%,0))</x:f>
      </x:c>
      <x:c r="AI389" s="35" t="str">
        <x:f>IF(AH389="","",IF(AH389&gt;=85,"Excelente",IF(AH389&gt;=70,"Adequado",IF(AH389&gt;=50,"Atenção","Crítico"))))</x:f>
      </x:c>
    </x:row>
    <x:row r="390">
      <x:c r="A390" s="33"/>
      <x:c r="B390" s="33"/>
      <x:c r="C390" s="33"/>
      <x:c r="D390" s="33"/>
      <x:c r="E390" s="36"/>
      <x:c r="F390" s="36"/>
      <x:c r="G390" s="33"/>
      <x:c r="H390" s="33"/>
      <x:c r="I390" s="33"/>
      <x:c r="J390" s="33"/>
      <x:c r="K390" s="33"/>
      <x:c r="L390" s="33"/>
      <x:c r="M390" s="33"/>
      <x:c r="N390" s="37"/>
      <x:c r="O390" s="33"/>
      <x:c r="P390" s="33"/>
      <x:c r="Q390" s="33"/>
      <x:c r="R390" s="37"/>
      <x:c r="S390" s="33"/>
      <x:c r="T390" s="33"/>
      <x:c r="U390" s="33"/>
      <x:c r="V390" s="38"/>
      <x:c r="W390" s="34"/>
      <x:c r="X390" s="34"/>
      <x:c r="Y390" s="34"/>
      <x:c r="Z390" s="34"/>
      <x:c r="AA390" s="34"/>
      <x:c r="AB390" s="34"/>
      <x:c r="AC390" s="34"/>
      <x:c r="AD390" s="34"/>
      <x:c r="AE390" s="34"/>
      <x:c r="AF390" s="34"/>
      <x:c r="AG390" s="34"/>
      <x:c r="AH390" s="35" t="str">
        <x:f>IF(COUNTA(X390:AA390)&lt;4,"",ROUND((X390*20)*45%+(((Y390-1)/4*100)*30%+((Z390-1)/4*100)*25%+(1-(AA390-1)/4)*100*25%+(1-(MAX(1,AC390:AE390)-1)/4)*100*20%)*55%,0))</x:f>
      </x:c>
      <x:c r="AI390" s="35" t="str">
        <x:f>IF(AH390="","",IF(AH390&gt;=85,"Excelente",IF(AH390&gt;=70,"Adequado",IF(AH390&gt;=50,"Atenção","Crítico"))))</x:f>
      </x:c>
    </x:row>
    <x:row r="391">
      <x:c r="A391" s="33"/>
      <x:c r="B391" s="33"/>
      <x:c r="C391" s="33"/>
      <x:c r="D391" s="33"/>
      <x:c r="E391" s="36"/>
      <x:c r="F391" s="36"/>
      <x:c r="G391" s="33"/>
      <x:c r="H391" s="33"/>
      <x:c r="I391" s="33"/>
      <x:c r="J391" s="33"/>
      <x:c r="K391" s="33"/>
      <x:c r="L391" s="33"/>
      <x:c r="M391" s="33"/>
      <x:c r="N391" s="37"/>
      <x:c r="O391" s="33"/>
      <x:c r="P391" s="33"/>
      <x:c r="Q391" s="33"/>
      <x:c r="R391" s="37"/>
      <x:c r="S391" s="33"/>
      <x:c r="T391" s="33"/>
      <x:c r="U391" s="33"/>
      <x:c r="V391" s="38"/>
      <x:c r="W391" s="34"/>
      <x:c r="X391" s="34"/>
      <x:c r="Y391" s="34"/>
      <x:c r="Z391" s="34"/>
      <x:c r="AA391" s="34"/>
      <x:c r="AB391" s="34"/>
      <x:c r="AC391" s="34"/>
      <x:c r="AD391" s="34"/>
      <x:c r="AE391" s="34"/>
      <x:c r="AF391" s="34"/>
      <x:c r="AG391" s="34"/>
      <x:c r="AH391" s="35" t="str">
        <x:f>IF(COUNTA(X391:AA391)&lt;4,"",ROUND((X391*20)*45%+(((Y391-1)/4*100)*30%+((Z391-1)/4*100)*25%+(1-(AA391-1)/4)*100*25%+(1-(MAX(1,AC391:AE391)-1)/4)*100*20%)*55%,0))</x:f>
      </x:c>
      <x:c r="AI391" s="35" t="str">
        <x:f>IF(AH391="","",IF(AH391&gt;=85,"Excelente",IF(AH391&gt;=70,"Adequado",IF(AH391&gt;=50,"Atenção","Crítico"))))</x:f>
      </x:c>
    </x:row>
    <x:row r="392">
      <x:c r="A392" s="33"/>
      <x:c r="B392" s="33"/>
      <x:c r="C392" s="33"/>
      <x:c r="D392" s="33"/>
      <x:c r="E392" s="36"/>
      <x:c r="F392" s="36"/>
      <x:c r="G392" s="33"/>
      <x:c r="H392" s="33"/>
      <x:c r="I392" s="33"/>
      <x:c r="J392" s="33"/>
      <x:c r="K392" s="33"/>
      <x:c r="L392" s="33"/>
      <x:c r="M392" s="33"/>
      <x:c r="N392" s="37"/>
      <x:c r="O392" s="33"/>
      <x:c r="P392" s="33"/>
      <x:c r="Q392" s="33"/>
      <x:c r="R392" s="37"/>
      <x:c r="S392" s="33"/>
      <x:c r="T392" s="33"/>
      <x:c r="U392" s="33"/>
      <x:c r="V392" s="38"/>
      <x:c r="W392" s="34"/>
      <x:c r="X392" s="34"/>
      <x:c r="Y392" s="34"/>
      <x:c r="Z392" s="34"/>
      <x:c r="AA392" s="34"/>
      <x:c r="AB392" s="34"/>
      <x:c r="AC392" s="34"/>
      <x:c r="AD392" s="34"/>
      <x:c r="AE392" s="34"/>
      <x:c r="AF392" s="34"/>
      <x:c r="AG392" s="34"/>
      <x:c r="AH392" s="35" t="str">
        <x:f>IF(COUNTA(X392:AA392)&lt;4,"",ROUND((X392*20)*45%+(((Y392-1)/4*100)*30%+((Z392-1)/4*100)*25%+(1-(AA392-1)/4)*100*25%+(1-(MAX(1,AC392:AE392)-1)/4)*100*20%)*55%,0))</x:f>
      </x:c>
      <x:c r="AI392" s="35" t="str">
        <x:f>IF(AH392="","",IF(AH392&gt;=85,"Excelente",IF(AH392&gt;=70,"Adequado",IF(AH392&gt;=50,"Atenção","Crítico"))))</x:f>
      </x:c>
    </x:row>
    <x:row r="393">
      <x:c r="A393" s="33"/>
      <x:c r="B393" s="33"/>
      <x:c r="C393" s="33"/>
      <x:c r="D393" s="33"/>
      <x:c r="E393" s="36"/>
      <x:c r="F393" s="36"/>
      <x:c r="G393" s="33"/>
      <x:c r="H393" s="33"/>
      <x:c r="I393" s="33"/>
      <x:c r="J393" s="33"/>
      <x:c r="K393" s="33"/>
      <x:c r="L393" s="33"/>
      <x:c r="M393" s="33"/>
      <x:c r="N393" s="37"/>
      <x:c r="O393" s="33"/>
      <x:c r="P393" s="33"/>
      <x:c r="Q393" s="33"/>
      <x:c r="R393" s="37"/>
      <x:c r="S393" s="33"/>
      <x:c r="T393" s="33"/>
      <x:c r="U393" s="33"/>
      <x:c r="V393" s="38"/>
      <x:c r="W393" s="34"/>
      <x:c r="X393" s="34"/>
      <x:c r="Y393" s="34"/>
      <x:c r="Z393" s="34"/>
      <x:c r="AA393" s="34"/>
      <x:c r="AB393" s="34"/>
      <x:c r="AC393" s="34"/>
      <x:c r="AD393" s="34"/>
      <x:c r="AE393" s="34"/>
      <x:c r="AF393" s="34"/>
      <x:c r="AG393" s="34"/>
      <x:c r="AH393" s="35" t="str">
        <x:f>IF(COUNTA(X393:AA393)&lt;4,"",ROUND((X393*20)*45%+(((Y393-1)/4*100)*30%+((Z393-1)/4*100)*25%+(1-(AA393-1)/4)*100*25%+(1-(MAX(1,AC393:AE393)-1)/4)*100*20%)*55%,0))</x:f>
      </x:c>
      <x:c r="AI393" s="35" t="str">
        <x:f>IF(AH393="","",IF(AH393&gt;=85,"Excelente",IF(AH393&gt;=70,"Adequado",IF(AH393&gt;=50,"Atenção","Crítico"))))</x:f>
      </x:c>
    </x:row>
    <x:row r="394">
      <x:c r="A394" s="33"/>
      <x:c r="B394" s="33"/>
      <x:c r="C394" s="33"/>
      <x:c r="D394" s="33"/>
      <x:c r="E394" s="36"/>
      <x:c r="F394" s="36"/>
      <x:c r="G394" s="33"/>
      <x:c r="H394" s="33"/>
      <x:c r="I394" s="33"/>
      <x:c r="J394" s="33"/>
      <x:c r="K394" s="33"/>
      <x:c r="L394" s="33"/>
      <x:c r="M394" s="33"/>
      <x:c r="N394" s="37"/>
      <x:c r="O394" s="33"/>
      <x:c r="P394" s="33"/>
      <x:c r="Q394" s="33"/>
      <x:c r="R394" s="37"/>
      <x:c r="S394" s="33"/>
      <x:c r="T394" s="33"/>
      <x:c r="U394" s="33"/>
      <x:c r="V394" s="38"/>
      <x:c r="W394" s="34"/>
      <x:c r="X394" s="34"/>
      <x:c r="Y394" s="34"/>
      <x:c r="Z394" s="34"/>
      <x:c r="AA394" s="34"/>
      <x:c r="AB394" s="34"/>
      <x:c r="AC394" s="34"/>
      <x:c r="AD394" s="34"/>
      <x:c r="AE394" s="34"/>
      <x:c r="AF394" s="34"/>
      <x:c r="AG394" s="34"/>
      <x:c r="AH394" s="35" t="str">
        <x:f>IF(COUNTA(X394:AA394)&lt;4,"",ROUND((X394*20)*45%+(((Y394-1)/4*100)*30%+((Z394-1)/4*100)*25%+(1-(AA394-1)/4)*100*25%+(1-(MAX(1,AC394:AE394)-1)/4)*100*20%)*55%,0))</x:f>
      </x:c>
      <x:c r="AI394" s="35" t="str">
        <x:f>IF(AH394="","",IF(AH394&gt;=85,"Excelente",IF(AH394&gt;=70,"Adequado",IF(AH394&gt;=50,"Atenção","Crítico"))))</x:f>
      </x:c>
    </x:row>
    <x:row r="395">
      <x:c r="A395" s="33"/>
      <x:c r="B395" s="33"/>
      <x:c r="C395" s="33"/>
      <x:c r="D395" s="33"/>
      <x:c r="E395" s="36"/>
      <x:c r="F395" s="36"/>
      <x:c r="G395" s="33"/>
      <x:c r="H395" s="33"/>
      <x:c r="I395" s="33"/>
      <x:c r="J395" s="33"/>
      <x:c r="K395" s="33"/>
      <x:c r="L395" s="33"/>
      <x:c r="M395" s="33"/>
      <x:c r="N395" s="37"/>
      <x:c r="O395" s="33"/>
      <x:c r="P395" s="33"/>
      <x:c r="Q395" s="33"/>
      <x:c r="R395" s="37"/>
      <x:c r="S395" s="33"/>
      <x:c r="T395" s="33"/>
      <x:c r="U395" s="33"/>
      <x:c r="V395" s="38"/>
      <x:c r="W395" s="34"/>
      <x:c r="X395" s="34"/>
      <x:c r="Y395" s="34"/>
      <x:c r="Z395" s="34"/>
      <x:c r="AA395" s="34"/>
      <x:c r="AB395" s="34"/>
      <x:c r="AC395" s="34"/>
      <x:c r="AD395" s="34"/>
      <x:c r="AE395" s="34"/>
      <x:c r="AF395" s="34"/>
      <x:c r="AG395" s="34"/>
      <x:c r="AH395" s="35" t="str">
        <x:f>IF(COUNTA(X395:AA395)&lt;4,"",ROUND((X395*20)*45%+(((Y395-1)/4*100)*30%+((Z395-1)/4*100)*25%+(1-(AA395-1)/4)*100*25%+(1-(MAX(1,AC395:AE395)-1)/4)*100*20%)*55%,0))</x:f>
      </x:c>
      <x:c r="AI395" s="35" t="str">
        <x:f>IF(AH395="","",IF(AH395&gt;=85,"Excelente",IF(AH395&gt;=70,"Adequado",IF(AH395&gt;=50,"Atenção","Crítico"))))</x:f>
      </x:c>
    </x:row>
    <x:row r="396">
      <x:c r="A396" s="33"/>
      <x:c r="B396" s="33"/>
      <x:c r="C396" s="33"/>
      <x:c r="D396" s="33"/>
      <x:c r="E396" s="36"/>
      <x:c r="F396" s="36"/>
      <x:c r="G396" s="33"/>
      <x:c r="H396" s="33"/>
      <x:c r="I396" s="33"/>
      <x:c r="J396" s="33"/>
      <x:c r="K396" s="33"/>
      <x:c r="L396" s="33"/>
      <x:c r="M396" s="33"/>
      <x:c r="N396" s="37"/>
      <x:c r="O396" s="33"/>
      <x:c r="P396" s="33"/>
      <x:c r="Q396" s="33"/>
      <x:c r="R396" s="37"/>
      <x:c r="S396" s="33"/>
      <x:c r="T396" s="33"/>
      <x:c r="U396" s="33"/>
      <x:c r="V396" s="38"/>
      <x:c r="W396" s="34"/>
      <x:c r="X396" s="34"/>
      <x:c r="Y396" s="34"/>
      <x:c r="Z396" s="34"/>
      <x:c r="AA396" s="34"/>
      <x:c r="AB396" s="34"/>
      <x:c r="AC396" s="34"/>
      <x:c r="AD396" s="34"/>
      <x:c r="AE396" s="34"/>
      <x:c r="AF396" s="34"/>
      <x:c r="AG396" s="34"/>
      <x:c r="AH396" s="35" t="str">
        <x:f>IF(COUNTA(X396:AA396)&lt;4,"",ROUND((X396*20)*45%+(((Y396-1)/4*100)*30%+((Z396-1)/4*100)*25%+(1-(AA396-1)/4)*100*25%+(1-(MAX(1,AC396:AE396)-1)/4)*100*20%)*55%,0))</x:f>
      </x:c>
      <x:c r="AI396" s="35" t="str">
        <x:f>IF(AH396="","",IF(AH396&gt;=85,"Excelente",IF(AH396&gt;=70,"Adequado",IF(AH396&gt;=50,"Atenção","Crítico"))))</x:f>
      </x:c>
    </x:row>
    <x:row r="397">
      <x:c r="A397" s="33"/>
      <x:c r="B397" s="33"/>
      <x:c r="C397" s="33"/>
      <x:c r="D397" s="33"/>
      <x:c r="E397" s="36"/>
      <x:c r="F397" s="36"/>
      <x:c r="G397" s="33"/>
      <x:c r="H397" s="33"/>
      <x:c r="I397" s="33"/>
      <x:c r="J397" s="33"/>
      <x:c r="K397" s="33"/>
      <x:c r="L397" s="33"/>
      <x:c r="M397" s="33"/>
      <x:c r="N397" s="37"/>
      <x:c r="O397" s="33"/>
      <x:c r="P397" s="33"/>
      <x:c r="Q397" s="33"/>
      <x:c r="R397" s="37"/>
      <x:c r="S397" s="33"/>
      <x:c r="T397" s="33"/>
      <x:c r="U397" s="33"/>
      <x:c r="V397" s="38"/>
      <x:c r="W397" s="34"/>
      <x:c r="X397" s="34"/>
      <x:c r="Y397" s="34"/>
      <x:c r="Z397" s="34"/>
      <x:c r="AA397" s="34"/>
      <x:c r="AB397" s="34"/>
      <x:c r="AC397" s="34"/>
      <x:c r="AD397" s="34"/>
      <x:c r="AE397" s="34"/>
      <x:c r="AF397" s="34"/>
      <x:c r="AG397" s="34"/>
      <x:c r="AH397" s="35" t="str">
        <x:f>IF(COUNTA(X397:AA397)&lt;4,"",ROUND((X397*20)*45%+(((Y397-1)/4*100)*30%+((Z397-1)/4*100)*25%+(1-(AA397-1)/4)*100*25%+(1-(MAX(1,AC397:AE397)-1)/4)*100*20%)*55%,0))</x:f>
      </x:c>
      <x:c r="AI397" s="35" t="str">
        <x:f>IF(AH397="","",IF(AH397&gt;=85,"Excelente",IF(AH397&gt;=70,"Adequado",IF(AH397&gt;=50,"Atenção","Crítico"))))</x:f>
      </x:c>
    </x:row>
    <x:row r="398">
      <x:c r="A398" s="33"/>
      <x:c r="B398" s="33"/>
      <x:c r="C398" s="33"/>
      <x:c r="D398" s="33"/>
      <x:c r="E398" s="36"/>
      <x:c r="F398" s="36"/>
      <x:c r="G398" s="33"/>
      <x:c r="H398" s="33"/>
      <x:c r="I398" s="33"/>
      <x:c r="J398" s="33"/>
      <x:c r="K398" s="33"/>
      <x:c r="L398" s="33"/>
      <x:c r="M398" s="33"/>
      <x:c r="N398" s="37"/>
      <x:c r="O398" s="33"/>
      <x:c r="P398" s="33"/>
      <x:c r="Q398" s="33"/>
      <x:c r="R398" s="37"/>
      <x:c r="S398" s="33"/>
      <x:c r="T398" s="33"/>
      <x:c r="U398" s="33"/>
      <x:c r="V398" s="38"/>
      <x:c r="W398" s="34"/>
      <x:c r="X398" s="34"/>
      <x:c r="Y398" s="34"/>
      <x:c r="Z398" s="34"/>
      <x:c r="AA398" s="34"/>
      <x:c r="AB398" s="34"/>
      <x:c r="AC398" s="34"/>
      <x:c r="AD398" s="34"/>
      <x:c r="AE398" s="34"/>
      <x:c r="AF398" s="34"/>
      <x:c r="AG398" s="34"/>
      <x:c r="AH398" s="35" t="str">
        <x:f>IF(COUNTA(X398:AA398)&lt;4,"",ROUND((X398*20)*45%+(((Y398-1)/4*100)*30%+((Z398-1)/4*100)*25%+(1-(AA398-1)/4)*100*25%+(1-(MAX(1,AC398:AE398)-1)/4)*100*20%)*55%,0))</x:f>
      </x:c>
      <x:c r="AI398" s="35" t="str">
        <x:f>IF(AH398="","",IF(AH398&gt;=85,"Excelente",IF(AH398&gt;=70,"Adequado",IF(AH398&gt;=50,"Atenção","Crítico"))))</x:f>
      </x:c>
    </x:row>
    <x:row r="399">
      <x:c r="A399" s="33"/>
      <x:c r="B399" s="33"/>
      <x:c r="C399" s="33"/>
      <x:c r="D399" s="33"/>
      <x:c r="E399" s="36"/>
      <x:c r="F399" s="36"/>
      <x:c r="G399" s="33"/>
      <x:c r="H399" s="33"/>
      <x:c r="I399" s="33"/>
      <x:c r="J399" s="33"/>
      <x:c r="K399" s="33"/>
      <x:c r="L399" s="33"/>
      <x:c r="M399" s="33"/>
      <x:c r="N399" s="37"/>
      <x:c r="O399" s="33"/>
      <x:c r="P399" s="33"/>
      <x:c r="Q399" s="33"/>
      <x:c r="R399" s="37"/>
      <x:c r="S399" s="33"/>
      <x:c r="T399" s="33"/>
      <x:c r="U399" s="33"/>
      <x:c r="V399" s="38"/>
      <x:c r="W399" s="34"/>
      <x:c r="X399" s="34"/>
      <x:c r="Y399" s="34"/>
      <x:c r="Z399" s="34"/>
      <x:c r="AA399" s="34"/>
      <x:c r="AB399" s="34"/>
      <x:c r="AC399" s="34"/>
      <x:c r="AD399" s="34"/>
      <x:c r="AE399" s="34"/>
      <x:c r="AF399" s="34"/>
      <x:c r="AG399" s="34"/>
      <x:c r="AH399" s="35" t="str">
        <x:f>IF(COUNTA(X399:AA399)&lt;4,"",ROUND((X399*20)*45%+(((Y399-1)/4*100)*30%+((Z399-1)/4*100)*25%+(1-(AA399-1)/4)*100*25%+(1-(MAX(1,AC399:AE399)-1)/4)*100*20%)*55%,0))</x:f>
      </x:c>
      <x:c r="AI399" s="35" t="str">
        <x:f>IF(AH399="","",IF(AH399&gt;=85,"Excelente",IF(AH399&gt;=70,"Adequado",IF(AH399&gt;=50,"Atenção","Crítico"))))</x:f>
      </x:c>
    </x:row>
    <x:row r="400">
      <x:c r="A400" s="33"/>
      <x:c r="B400" s="33"/>
      <x:c r="C400" s="33"/>
      <x:c r="D400" s="33"/>
      <x:c r="E400" s="36"/>
      <x:c r="F400" s="36"/>
      <x:c r="G400" s="33"/>
      <x:c r="H400" s="33"/>
      <x:c r="I400" s="33"/>
      <x:c r="J400" s="33"/>
      <x:c r="K400" s="33"/>
      <x:c r="L400" s="33"/>
      <x:c r="M400" s="33"/>
      <x:c r="N400" s="37"/>
      <x:c r="O400" s="33"/>
      <x:c r="P400" s="33"/>
      <x:c r="Q400" s="33"/>
      <x:c r="R400" s="37"/>
      <x:c r="S400" s="33"/>
      <x:c r="T400" s="33"/>
      <x:c r="U400" s="33"/>
      <x:c r="V400" s="38"/>
      <x:c r="W400" s="34"/>
      <x:c r="X400" s="34"/>
      <x:c r="Y400" s="34"/>
      <x:c r="Z400" s="34"/>
      <x:c r="AA400" s="34"/>
      <x:c r="AB400" s="34"/>
      <x:c r="AC400" s="34"/>
      <x:c r="AD400" s="34"/>
      <x:c r="AE400" s="34"/>
      <x:c r="AF400" s="34"/>
      <x:c r="AG400" s="34"/>
      <x:c r="AH400" s="35" t="str">
        <x:f>IF(COUNTA(X400:AA400)&lt;4,"",ROUND((X400*20)*45%+(((Y400-1)/4*100)*30%+((Z400-1)/4*100)*25%+(1-(AA400-1)/4)*100*25%+(1-(MAX(1,AC400:AE400)-1)/4)*100*20%)*55%,0))</x:f>
      </x:c>
      <x:c r="AI400" s="35" t="str">
        <x:f>IF(AH400="","",IF(AH400&gt;=85,"Excelente",IF(AH400&gt;=70,"Adequado",IF(AH400&gt;=50,"Atenção","Crítico"))))</x:f>
      </x:c>
    </x:row>
    <x:row r="401">
      <x:c r="A401" s="33"/>
      <x:c r="B401" s="33"/>
      <x:c r="C401" s="33"/>
      <x:c r="D401" s="33"/>
      <x:c r="E401" s="36"/>
      <x:c r="F401" s="36"/>
      <x:c r="G401" s="33"/>
      <x:c r="H401" s="33"/>
      <x:c r="I401" s="33"/>
      <x:c r="J401" s="33"/>
      <x:c r="K401" s="33"/>
      <x:c r="L401" s="33"/>
      <x:c r="M401" s="33"/>
      <x:c r="N401" s="37"/>
      <x:c r="O401" s="33"/>
      <x:c r="P401" s="33"/>
      <x:c r="Q401" s="33"/>
      <x:c r="R401" s="37"/>
      <x:c r="S401" s="33"/>
      <x:c r="T401" s="33"/>
      <x:c r="U401" s="33"/>
      <x:c r="V401" s="38"/>
      <x:c r="W401" s="34"/>
      <x:c r="X401" s="34"/>
      <x:c r="Y401" s="34"/>
      <x:c r="Z401" s="34"/>
      <x:c r="AA401" s="34"/>
      <x:c r="AB401" s="34"/>
      <x:c r="AC401" s="34"/>
      <x:c r="AD401" s="34"/>
      <x:c r="AE401" s="34"/>
      <x:c r="AF401" s="34"/>
      <x:c r="AG401" s="34"/>
      <x:c r="AH401" s="35" t="str">
        <x:f>IF(COUNTA(X401:AA401)&lt;4,"",ROUND((X401*20)*45%+(((Y401-1)/4*100)*30%+((Z401-1)/4*100)*25%+(1-(AA401-1)/4)*100*25%+(1-(MAX(1,AC401:AE401)-1)/4)*100*20%)*55%,0))</x:f>
      </x:c>
      <x:c r="AI401" s="35" t="str">
        <x:f>IF(AH401="","",IF(AH401&gt;=85,"Excelente",IF(AH401&gt;=70,"Adequado",IF(AH401&gt;=50,"Atenção","Crítico"))))</x:f>
      </x:c>
    </x:row>
    <x:row r="402">
      <x:c r="A402" s="33"/>
      <x:c r="B402" s="33"/>
      <x:c r="C402" s="33"/>
      <x:c r="D402" s="33"/>
      <x:c r="E402" s="36"/>
      <x:c r="F402" s="36"/>
      <x:c r="G402" s="33"/>
      <x:c r="H402" s="33"/>
      <x:c r="I402" s="33"/>
      <x:c r="J402" s="33"/>
      <x:c r="K402" s="33"/>
      <x:c r="L402" s="33"/>
      <x:c r="M402" s="33"/>
      <x:c r="N402" s="37"/>
      <x:c r="O402" s="33"/>
      <x:c r="P402" s="33"/>
      <x:c r="Q402" s="33"/>
      <x:c r="R402" s="37"/>
      <x:c r="S402" s="33"/>
      <x:c r="T402" s="33"/>
      <x:c r="U402" s="33"/>
      <x:c r="V402" s="38"/>
      <x:c r="W402" s="34"/>
      <x:c r="X402" s="34"/>
      <x:c r="Y402" s="34"/>
      <x:c r="Z402" s="34"/>
      <x:c r="AA402" s="34"/>
      <x:c r="AB402" s="34"/>
      <x:c r="AC402" s="34"/>
      <x:c r="AD402" s="34"/>
      <x:c r="AE402" s="34"/>
      <x:c r="AF402" s="34"/>
      <x:c r="AG402" s="34"/>
      <x:c r="AH402" s="35" t="str">
        <x:f>IF(COUNTA(X402:AA402)&lt;4,"",ROUND((X402*20)*45%+(((Y402-1)/4*100)*30%+((Z402-1)/4*100)*25%+(1-(AA402-1)/4)*100*25%+(1-(MAX(1,AC402:AE402)-1)/4)*100*20%)*55%,0))</x:f>
      </x:c>
      <x:c r="AI402" s="35" t="str">
        <x:f>IF(AH402="","",IF(AH402&gt;=85,"Excelente",IF(AH402&gt;=70,"Adequado",IF(AH402&gt;=50,"Atenção","Crítico"))))</x:f>
      </x:c>
    </x:row>
    <x:row r="403">
      <x:c r="A403" s="33"/>
      <x:c r="B403" s="33"/>
      <x:c r="C403" s="33"/>
      <x:c r="D403" s="33"/>
      <x:c r="E403" s="36"/>
      <x:c r="F403" s="36"/>
      <x:c r="G403" s="33"/>
      <x:c r="H403" s="33"/>
      <x:c r="I403" s="33"/>
      <x:c r="J403" s="33"/>
      <x:c r="K403" s="33"/>
      <x:c r="L403" s="33"/>
      <x:c r="M403" s="33"/>
      <x:c r="N403" s="37"/>
      <x:c r="O403" s="33"/>
      <x:c r="P403" s="33"/>
      <x:c r="Q403" s="33"/>
      <x:c r="R403" s="37"/>
      <x:c r="S403" s="33"/>
      <x:c r="T403" s="33"/>
      <x:c r="U403" s="33"/>
      <x:c r="V403" s="38"/>
      <x:c r="W403" s="34"/>
      <x:c r="X403" s="34"/>
      <x:c r="Y403" s="34"/>
      <x:c r="Z403" s="34"/>
      <x:c r="AA403" s="34"/>
      <x:c r="AB403" s="34"/>
      <x:c r="AC403" s="34"/>
      <x:c r="AD403" s="34"/>
      <x:c r="AE403" s="34"/>
      <x:c r="AF403" s="34"/>
      <x:c r="AG403" s="34"/>
      <x:c r="AH403" s="35" t="str">
        <x:f>IF(COUNTA(X403:AA403)&lt;4,"",ROUND((X403*20)*45%+(((Y403-1)/4*100)*30%+((Z403-1)/4*100)*25%+(1-(AA403-1)/4)*100*25%+(1-(MAX(1,AC403:AE403)-1)/4)*100*20%)*55%,0))</x:f>
      </x:c>
      <x:c r="AI403" s="35" t="str">
        <x:f>IF(AH403="","",IF(AH403&gt;=85,"Excelente",IF(AH403&gt;=70,"Adequado",IF(AH403&gt;=50,"Atenção","Crítico"))))</x:f>
      </x:c>
    </x:row>
    <x:row r="404">
      <x:c r="A404" s="33"/>
      <x:c r="B404" s="33"/>
      <x:c r="C404" s="33"/>
      <x:c r="D404" s="33"/>
      <x:c r="E404" s="36"/>
      <x:c r="F404" s="36"/>
      <x:c r="G404" s="33"/>
      <x:c r="H404" s="33"/>
      <x:c r="I404" s="33"/>
      <x:c r="J404" s="33"/>
      <x:c r="K404" s="33"/>
      <x:c r="L404" s="33"/>
      <x:c r="M404" s="33"/>
      <x:c r="N404" s="37"/>
      <x:c r="O404" s="33"/>
      <x:c r="P404" s="33"/>
      <x:c r="Q404" s="33"/>
      <x:c r="R404" s="37"/>
      <x:c r="S404" s="33"/>
      <x:c r="T404" s="33"/>
      <x:c r="U404" s="33"/>
      <x:c r="V404" s="38"/>
      <x:c r="W404" s="34"/>
      <x:c r="X404" s="34"/>
      <x:c r="Y404" s="34"/>
      <x:c r="Z404" s="34"/>
      <x:c r="AA404" s="34"/>
      <x:c r="AB404" s="34"/>
      <x:c r="AC404" s="34"/>
      <x:c r="AD404" s="34"/>
      <x:c r="AE404" s="34"/>
      <x:c r="AF404" s="34"/>
      <x:c r="AG404" s="34"/>
      <x:c r="AH404" s="35" t="str">
        <x:f>IF(COUNTA(X404:AA404)&lt;4,"",ROUND((X404*20)*45%+(((Y404-1)/4*100)*30%+((Z404-1)/4*100)*25%+(1-(AA404-1)/4)*100*25%+(1-(MAX(1,AC404:AE404)-1)/4)*100*20%)*55%,0))</x:f>
      </x:c>
      <x:c r="AI404" s="35" t="str">
        <x:f>IF(AH404="","",IF(AH404&gt;=85,"Excelente",IF(AH404&gt;=70,"Adequado",IF(AH404&gt;=50,"Atenção","Crítico"))))</x:f>
      </x:c>
    </x:row>
    <x:row r="405">
      <x:c r="A405" s="33"/>
      <x:c r="B405" s="33"/>
      <x:c r="C405" s="33"/>
      <x:c r="D405" s="33"/>
      <x:c r="E405" s="36"/>
      <x:c r="F405" s="36"/>
      <x:c r="G405" s="33"/>
      <x:c r="H405" s="33"/>
      <x:c r="I405" s="33"/>
      <x:c r="J405" s="33"/>
      <x:c r="K405" s="33"/>
      <x:c r="L405" s="33"/>
      <x:c r="M405" s="33"/>
      <x:c r="N405" s="37"/>
      <x:c r="O405" s="33"/>
      <x:c r="P405" s="33"/>
      <x:c r="Q405" s="33"/>
      <x:c r="R405" s="37"/>
      <x:c r="S405" s="33"/>
      <x:c r="T405" s="33"/>
      <x:c r="U405" s="33"/>
      <x:c r="V405" s="38"/>
      <x:c r="W405" s="34"/>
      <x:c r="X405" s="34"/>
      <x:c r="Y405" s="34"/>
      <x:c r="Z405" s="34"/>
      <x:c r="AA405" s="34"/>
      <x:c r="AB405" s="34"/>
      <x:c r="AC405" s="34"/>
      <x:c r="AD405" s="34"/>
      <x:c r="AE405" s="34"/>
      <x:c r="AF405" s="34"/>
      <x:c r="AG405" s="34"/>
      <x:c r="AH405" s="35" t="str">
        <x:f>IF(COUNTA(X405:AA405)&lt;4,"",ROUND((X405*20)*45%+(((Y405-1)/4*100)*30%+((Z405-1)/4*100)*25%+(1-(AA405-1)/4)*100*25%+(1-(MAX(1,AC405:AE405)-1)/4)*100*20%)*55%,0))</x:f>
      </x:c>
      <x:c r="AI405" s="35" t="str">
        <x:f>IF(AH405="","",IF(AH405&gt;=85,"Excelente",IF(AH405&gt;=70,"Adequado",IF(AH405&gt;=50,"Atenção","Crítico"))))</x:f>
      </x:c>
    </x:row>
    <x:row r="406">
      <x:c r="A406" s="33"/>
      <x:c r="B406" s="33"/>
      <x:c r="C406" s="33"/>
      <x:c r="D406" s="33"/>
      <x:c r="E406" s="36"/>
      <x:c r="F406" s="36"/>
      <x:c r="G406" s="33"/>
      <x:c r="H406" s="33"/>
      <x:c r="I406" s="33"/>
      <x:c r="J406" s="33"/>
      <x:c r="K406" s="33"/>
      <x:c r="L406" s="33"/>
      <x:c r="M406" s="33"/>
      <x:c r="N406" s="37"/>
      <x:c r="O406" s="33"/>
      <x:c r="P406" s="33"/>
      <x:c r="Q406" s="33"/>
      <x:c r="R406" s="37"/>
      <x:c r="S406" s="33"/>
      <x:c r="T406" s="33"/>
      <x:c r="U406" s="33"/>
      <x:c r="V406" s="38"/>
      <x:c r="W406" s="34"/>
      <x:c r="X406" s="34"/>
      <x:c r="Y406" s="34"/>
      <x:c r="Z406" s="34"/>
      <x:c r="AA406" s="34"/>
      <x:c r="AB406" s="34"/>
      <x:c r="AC406" s="34"/>
      <x:c r="AD406" s="34"/>
      <x:c r="AE406" s="34"/>
      <x:c r="AF406" s="34"/>
      <x:c r="AG406" s="34"/>
      <x:c r="AH406" s="35" t="str">
        <x:f>IF(COUNTA(X406:AA406)&lt;4,"",ROUND((X406*20)*45%+(((Y406-1)/4*100)*30%+((Z406-1)/4*100)*25%+(1-(AA406-1)/4)*100*25%+(1-(MAX(1,AC406:AE406)-1)/4)*100*20%)*55%,0))</x:f>
      </x:c>
      <x:c r="AI406" s="35" t="str">
        <x:f>IF(AH406="","",IF(AH406&gt;=85,"Excelente",IF(AH406&gt;=70,"Adequado",IF(AH406&gt;=50,"Atenção","Crítico"))))</x:f>
      </x:c>
    </x:row>
    <x:row r="407">
      <x:c r="A407" s="33"/>
      <x:c r="B407" s="33"/>
      <x:c r="C407" s="33"/>
      <x:c r="D407" s="33"/>
      <x:c r="E407" s="36"/>
      <x:c r="F407" s="36"/>
      <x:c r="G407" s="33"/>
      <x:c r="H407" s="33"/>
      <x:c r="I407" s="33"/>
      <x:c r="J407" s="33"/>
      <x:c r="K407" s="33"/>
      <x:c r="L407" s="33"/>
      <x:c r="M407" s="33"/>
      <x:c r="N407" s="37"/>
      <x:c r="O407" s="33"/>
      <x:c r="P407" s="33"/>
      <x:c r="Q407" s="33"/>
      <x:c r="R407" s="37"/>
      <x:c r="S407" s="33"/>
      <x:c r="T407" s="33"/>
      <x:c r="U407" s="33"/>
      <x:c r="V407" s="38"/>
      <x:c r="W407" s="34"/>
      <x:c r="X407" s="34"/>
      <x:c r="Y407" s="34"/>
      <x:c r="Z407" s="34"/>
      <x:c r="AA407" s="34"/>
      <x:c r="AB407" s="34"/>
      <x:c r="AC407" s="34"/>
      <x:c r="AD407" s="34"/>
      <x:c r="AE407" s="34"/>
      <x:c r="AF407" s="34"/>
      <x:c r="AG407" s="34"/>
      <x:c r="AH407" s="35" t="str">
        <x:f>IF(COUNTA(X407:AA407)&lt;4,"",ROUND((X407*20)*45%+(((Y407-1)/4*100)*30%+((Z407-1)/4*100)*25%+(1-(AA407-1)/4)*100*25%+(1-(MAX(1,AC407:AE407)-1)/4)*100*20%)*55%,0))</x:f>
      </x:c>
      <x:c r="AI407" s="35" t="str">
        <x:f>IF(AH407="","",IF(AH407&gt;=85,"Excelente",IF(AH407&gt;=70,"Adequado",IF(AH407&gt;=50,"Atenção","Crítico"))))</x:f>
      </x:c>
    </x:row>
    <x:row r="408">
      <x:c r="A408" s="33"/>
      <x:c r="B408" s="33"/>
      <x:c r="C408" s="33"/>
      <x:c r="D408" s="33"/>
      <x:c r="E408" s="36"/>
      <x:c r="F408" s="36"/>
      <x:c r="G408" s="33"/>
      <x:c r="H408" s="33"/>
      <x:c r="I408" s="33"/>
      <x:c r="J408" s="33"/>
      <x:c r="K408" s="33"/>
      <x:c r="L408" s="33"/>
      <x:c r="M408" s="33"/>
      <x:c r="N408" s="37"/>
      <x:c r="O408" s="33"/>
      <x:c r="P408" s="33"/>
      <x:c r="Q408" s="33"/>
      <x:c r="R408" s="37"/>
      <x:c r="S408" s="33"/>
      <x:c r="T408" s="33"/>
      <x:c r="U408" s="33"/>
      <x:c r="V408" s="38"/>
      <x:c r="W408" s="34"/>
      <x:c r="X408" s="34"/>
      <x:c r="Y408" s="34"/>
      <x:c r="Z408" s="34"/>
      <x:c r="AA408" s="34"/>
      <x:c r="AB408" s="34"/>
      <x:c r="AC408" s="34"/>
      <x:c r="AD408" s="34"/>
      <x:c r="AE408" s="34"/>
      <x:c r="AF408" s="34"/>
      <x:c r="AG408" s="34"/>
      <x:c r="AH408" s="35" t="str">
        <x:f>IF(COUNTA(X408:AA408)&lt;4,"",ROUND((X408*20)*45%+(((Y408-1)/4*100)*30%+((Z408-1)/4*100)*25%+(1-(AA408-1)/4)*100*25%+(1-(MAX(1,AC408:AE408)-1)/4)*100*20%)*55%,0))</x:f>
      </x:c>
      <x:c r="AI408" s="35" t="str">
        <x:f>IF(AH408="","",IF(AH408&gt;=85,"Excelente",IF(AH408&gt;=70,"Adequado",IF(AH408&gt;=50,"Atenção","Crítico"))))</x:f>
      </x:c>
    </x:row>
    <x:row r="409">
      <x:c r="A409" s="33"/>
      <x:c r="B409" s="33"/>
      <x:c r="C409" s="33"/>
      <x:c r="D409" s="33"/>
      <x:c r="E409" s="36"/>
      <x:c r="F409" s="36"/>
      <x:c r="G409" s="33"/>
      <x:c r="H409" s="33"/>
      <x:c r="I409" s="33"/>
      <x:c r="J409" s="33"/>
      <x:c r="K409" s="33"/>
      <x:c r="L409" s="33"/>
      <x:c r="M409" s="33"/>
      <x:c r="N409" s="37"/>
      <x:c r="O409" s="33"/>
      <x:c r="P409" s="33"/>
      <x:c r="Q409" s="33"/>
      <x:c r="R409" s="37"/>
      <x:c r="S409" s="33"/>
      <x:c r="T409" s="33"/>
      <x:c r="U409" s="33"/>
      <x:c r="V409" s="38"/>
      <x:c r="W409" s="34"/>
      <x:c r="X409" s="34"/>
      <x:c r="Y409" s="34"/>
      <x:c r="Z409" s="34"/>
      <x:c r="AA409" s="34"/>
      <x:c r="AB409" s="34"/>
      <x:c r="AC409" s="34"/>
      <x:c r="AD409" s="34"/>
      <x:c r="AE409" s="34"/>
      <x:c r="AF409" s="34"/>
      <x:c r="AG409" s="34"/>
      <x:c r="AH409" s="35" t="str">
        <x:f>IF(COUNTA(X409:AA409)&lt;4,"",ROUND((X409*20)*45%+(((Y409-1)/4*100)*30%+((Z409-1)/4*100)*25%+(1-(AA409-1)/4)*100*25%+(1-(MAX(1,AC409:AE409)-1)/4)*100*20%)*55%,0))</x:f>
      </x:c>
      <x:c r="AI409" s="35" t="str">
        <x:f>IF(AH409="","",IF(AH409&gt;=85,"Excelente",IF(AH409&gt;=70,"Adequado",IF(AH409&gt;=50,"Atenção","Crítico"))))</x:f>
      </x:c>
    </x:row>
    <x:row r="410">
      <x:c r="A410" s="33"/>
      <x:c r="B410" s="33"/>
      <x:c r="C410" s="33"/>
      <x:c r="D410" s="33"/>
      <x:c r="E410" s="36"/>
      <x:c r="F410" s="36"/>
      <x:c r="G410" s="33"/>
      <x:c r="H410" s="33"/>
      <x:c r="I410" s="33"/>
      <x:c r="J410" s="33"/>
      <x:c r="K410" s="33"/>
      <x:c r="L410" s="33"/>
      <x:c r="M410" s="33"/>
      <x:c r="N410" s="37"/>
      <x:c r="O410" s="33"/>
      <x:c r="P410" s="33"/>
      <x:c r="Q410" s="33"/>
      <x:c r="R410" s="37"/>
      <x:c r="S410" s="33"/>
      <x:c r="T410" s="33"/>
      <x:c r="U410" s="33"/>
      <x:c r="V410" s="38"/>
      <x:c r="W410" s="34"/>
      <x:c r="X410" s="34"/>
      <x:c r="Y410" s="34"/>
      <x:c r="Z410" s="34"/>
      <x:c r="AA410" s="34"/>
      <x:c r="AB410" s="34"/>
      <x:c r="AC410" s="34"/>
      <x:c r="AD410" s="34"/>
      <x:c r="AE410" s="34"/>
      <x:c r="AF410" s="34"/>
      <x:c r="AG410" s="34"/>
      <x:c r="AH410" s="35" t="str">
        <x:f>IF(COUNTA(X410:AA410)&lt;4,"",ROUND((X410*20)*45%+(((Y410-1)/4*100)*30%+((Z410-1)/4*100)*25%+(1-(AA410-1)/4)*100*25%+(1-(MAX(1,AC410:AE410)-1)/4)*100*20%)*55%,0))</x:f>
      </x:c>
      <x:c r="AI410" s="35" t="str">
        <x:f>IF(AH410="","",IF(AH410&gt;=85,"Excelente",IF(AH410&gt;=70,"Adequado",IF(AH410&gt;=50,"Atenção","Crítico"))))</x:f>
      </x:c>
    </x:row>
    <x:row r="411">
      <x:c r="A411" s="33"/>
      <x:c r="B411" s="33"/>
      <x:c r="C411" s="33"/>
      <x:c r="D411" s="33"/>
      <x:c r="E411" s="36"/>
      <x:c r="F411" s="36"/>
      <x:c r="G411" s="33"/>
      <x:c r="H411" s="33"/>
      <x:c r="I411" s="33"/>
      <x:c r="J411" s="33"/>
      <x:c r="K411" s="33"/>
      <x:c r="L411" s="33"/>
      <x:c r="M411" s="33"/>
      <x:c r="N411" s="37"/>
      <x:c r="O411" s="33"/>
      <x:c r="P411" s="33"/>
      <x:c r="Q411" s="33"/>
      <x:c r="R411" s="37"/>
      <x:c r="S411" s="33"/>
      <x:c r="T411" s="33"/>
      <x:c r="U411" s="33"/>
      <x:c r="V411" s="38"/>
      <x:c r="W411" s="34"/>
      <x:c r="X411" s="34"/>
      <x:c r="Y411" s="34"/>
      <x:c r="Z411" s="34"/>
      <x:c r="AA411" s="34"/>
      <x:c r="AB411" s="34"/>
      <x:c r="AC411" s="34"/>
      <x:c r="AD411" s="34"/>
      <x:c r="AE411" s="34"/>
      <x:c r="AF411" s="34"/>
      <x:c r="AG411" s="34"/>
      <x:c r="AH411" s="35" t="str">
        <x:f>IF(COUNTA(X411:AA411)&lt;4,"",ROUND((X411*20)*45%+(((Y411-1)/4*100)*30%+((Z411-1)/4*100)*25%+(1-(AA411-1)/4)*100*25%+(1-(MAX(1,AC411:AE411)-1)/4)*100*20%)*55%,0))</x:f>
      </x:c>
      <x:c r="AI411" s="35" t="str">
        <x:f>IF(AH411="","",IF(AH411&gt;=85,"Excelente",IF(AH411&gt;=70,"Adequado",IF(AH411&gt;=50,"Atenção","Crítico"))))</x:f>
      </x:c>
    </x:row>
    <x:row r="412">
      <x:c r="A412" s="33"/>
      <x:c r="B412" s="33"/>
      <x:c r="C412" s="33"/>
      <x:c r="D412" s="33"/>
      <x:c r="E412" s="36"/>
      <x:c r="F412" s="36"/>
      <x:c r="G412" s="33"/>
      <x:c r="H412" s="33"/>
      <x:c r="I412" s="33"/>
      <x:c r="J412" s="33"/>
      <x:c r="K412" s="33"/>
      <x:c r="L412" s="33"/>
      <x:c r="M412" s="33"/>
      <x:c r="N412" s="37"/>
      <x:c r="O412" s="33"/>
      <x:c r="P412" s="33"/>
      <x:c r="Q412" s="33"/>
      <x:c r="R412" s="37"/>
      <x:c r="S412" s="33"/>
      <x:c r="T412" s="33"/>
      <x:c r="U412" s="33"/>
      <x:c r="V412" s="38"/>
      <x:c r="W412" s="34"/>
      <x:c r="X412" s="34"/>
      <x:c r="Y412" s="34"/>
      <x:c r="Z412" s="34"/>
      <x:c r="AA412" s="34"/>
      <x:c r="AB412" s="34"/>
      <x:c r="AC412" s="34"/>
      <x:c r="AD412" s="34"/>
      <x:c r="AE412" s="34"/>
      <x:c r="AF412" s="34"/>
      <x:c r="AG412" s="34"/>
      <x:c r="AH412" s="35" t="str">
        <x:f>IF(COUNTA(X412:AA412)&lt;4,"",ROUND((X412*20)*45%+(((Y412-1)/4*100)*30%+((Z412-1)/4*100)*25%+(1-(AA412-1)/4)*100*25%+(1-(MAX(1,AC412:AE412)-1)/4)*100*20%)*55%,0))</x:f>
      </x:c>
      <x:c r="AI412" s="35" t="str">
        <x:f>IF(AH412="","",IF(AH412&gt;=85,"Excelente",IF(AH412&gt;=70,"Adequado",IF(AH412&gt;=50,"Atenção","Crítico"))))</x:f>
      </x:c>
    </x:row>
    <x:row r="413">
      <x:c r="A413" s="33"/>
      <x:c r="B413" s="33"/>
      <x:c r="C413" s="33"/>
      <x:c r="D413" s="33"/>
      <x:c r="E413" s="36"/>
      <x:c r="F413" s="36"/>
      <x:c r="G413" s="33"/>
      <x:c r="H413" s="33"/>
      <x:c r="I413" s="33"/>
      <x:c r="J413" s="33"/>
      <x:c r="K413" s="33"/>
      <x:c r="L413" s="33"/>
      <x:c r="M413" s="33"/>
      <x:c r="N413" s="37"/>
      <x:c r="O413" s="33"/>
      <x:c r="P413" s="33"/>
      <x:c r="Q413" s="33"/>
      <x:c r="R413" s="37"/>
      <x:c r="S413" s="33"/>
      <x:c r="T413" s="33"/>
      <x:c r="U413" s="33"/>
      <x:c r="V413" s="38"/>
      <x:c r="W413" s="34"/>
      <x:c r="X413" s="34"/>
      <x:c r="Y413" s="34"/>
      <x:c r="Z413" s="34"/>
      <x:c r="AA413" s="34"/>
      <x:c r="AB413" s="34"/>
      <x:c r="AC413" s="34"/>
      <x:c r="AD413" s="34"/>
      <x:c r="AE413" s="34"/>
      <x:c r="AF413" s="34"/>
      <x:c r="AG413" s="34"/>
      <x:c r="AH413" s="35" t="str">
        <x:f>IF(COUNTA(X413:AA413)&lt;4,"",ROUND((X413*20)*45%+(((Y413-1)/4*100)*30%+((Z413-1)/4*100)*25%+(1-(AA413-1)/4)*100*25%+(1-(MAX(1,AC413:AE413)-1)/4)*100*20%)*55%,0))</x:f>
      </x:c>
      <x:c r="AI413" s="35" t="str">
        <x:f>IF(AH413="","",IF(AH413&gt;=85,"Excelente",IF(AH413&gt;=70,"Adequado",IF(AH413&gt;=50,"Atenção","Crítico"))))</x:f>
      </x:c>
    </x:row>
    <x:row r="414">
      <x:c r="A414" s="33"/>
      <x:c r="B414" s="33"/>
      <x:c r="C414" s="33"/>
      <x:c r="D414" s="33"/>
      <x:c r="E414" s="36"/>
      <x:c r="F414" s="36"/>
      <x:c r="G414" s="33"/>
      <x:c r="H414" s="33"/>
      <x:c r="I414" s="33"/>
      <x:c r="J414" s="33"/>
      <x:c r="K414" s="33"/>
      <x:c r="L414" s="33"/>
      <x:c r="M414" s="33"/>
      <x:c r="N414" s="37"/>
      <x:c r="O414" s="33"/>
      <x:c r="P414" s="33"/>
      <x:c r="Q414" s="33"/>
      <x:c r="R414" s="37"/>
      <x:c r="S414" s="33"/>
      <x:c r="T414" s="33"/>
      <x:c r="U414" s="33"/>
      <x:c r="V414" s="38"/>
      <x:c r="W414" s="34"/>
      <x:c r="X414" s="34"/>
      <x:c r="Y414" s="34"/>
      <x:c r="Z414" s="34"/>
      <x:c r="AA414" s="34"/>
      <x:c r="AB414" s="34"/>
      <x:c r="AC414" s="34"/>
      <x:c r="AD414" s="34"/>
      <x:c r="AE414" s="34"/>
      <x:c r="AF414" s="34"/>
      <x:c r="AG414" s="34"/>
      <x:c r="AH414" s="35" t="str">
        <x:f>IF(COUNTA(X414:AA414)&lt;4,"",ROUND((X414*20)*45%+(((Y414-1)/4*100)*30%+((Z414-1)/4*100)*25%+(1-(AA414-1)/4)*100*25%+(1-(MAX(1,AC414:AE414)-1)/4)*100*20%)*55%,0))</x:f>
      </x:c>
      <x:c r="AI414" s="35" t="str">
        <x:f>IF(AH414="","",IF(AH414&gt;=85,"Excelente",IF(AH414&gt;=70,"Adequado",IF(AH414&gt;=50,"Atenção","Crítico"))))</x:f>
      </x:c>
    </x:row>
    <x:row r="415">
      <x:c r="A415" s="33"/>
      <x:c r="B415" s="33"/>
      <x:c r="C415" s="33"/>
      <x:c r="D415" s="33"/>
      <x:c r="E415" s="36"/>
      <x:c r="F415" s="36"/>
      <x:c r="G415" s="33"/>
      <x:c r="H415" s="33"/>
      <x:c r="I415" s="33"/>
      <x:c r="J415" s="33"/>
      <x:c r="K415" s="33"/>
      <x:c r="L415" s="33"/>
      <x:c r="M415" s="33"/>
      <x:c r="N415" s="37"/>
      <x:c r="O415" s="33"/>
      <x:c r="P415" s="33"/>
      <x:c r="Q415" s="33"/>
      <x:c r="R415" s="37"/>
      <x:c r="S415" s="33"/>
      <x:c r="T415" s="33"/>
      <x:c r="U415" s="33"/>
      <x:c r="V415" s="38"/>
      <x:c r="W415" s="34"/>
      <x:c r="X415" s="34"/>
      <x:c r="Y415" s="34"/>
      <x:c r="Z415" s="34"/>
      <x:c r="AA415" s="34"/>
      <x:c r="AB415" s="34"/>
      <x:c r="AC415" s="34"/>
      <x:c r="AD415" s="34"/>
      <x:c r="AE415" s="34"/>
      <x:c r="AF415" s="34"/>
      <x:c r="AG415" s="34"/>
      <x:c r="AH415" s="35" t="str">
        <x:f>IF(COUNTA(X415:AA415)&lt;4,"",ROUND((X415*20)*45%+(((Y415-1)/4*100)*30%+((Z415-1)/4*100)*25%+(1-(AA415-1)/4)*100*25%+(1-(MAX(1,AC415:AE415)-1)/4)*100*20%)*55%,0))</x:f>
      </x:c>
      <x:c r="AI415" s="35" t="str">
        <x:f>IF(AH415="","",IF(AH415&gt;=85,"Excelente",IF(AH415&gt;=70,"Adequado",IF(AH415&gt;=50,"Atenção","Crítico"))))</x:f>
      </x:c>
    </x:row>
    <x:row r="416">
      <x:c r="A416" s="33"/>
      <x:c r="B416" s="33"/>
      <x:c r="C416" s="33"/>
      <x:c r="D416" s="33"/>
      <x:c r="E416" s="36"/>
      <x:c r="F416" s="36"/>
      <x:c r="G416" s="33"/>
      <x:c r="H416" s="33"/>
      <x:c r="I416" s="33"/>
      <x:c r="J416" s="33"/>
      <x:c r="K416" s="33"/>
      <x:c r="L416" s="33"/>
      <x:c r="M416" s="33"/>
      <x:c r="N416" s="37"/>
      <x:c r="O416" s="33"/>
      <x:c r="P416" s="33"/>
      <x:c r="Q416" s="33"/>
      <x:c r="R416" s="37"/>
      <x:c r="S416" s="33"/>
      <x:c r="T416" s="33"/>
      <x:c r="U416" s="33"/>
      <x:c r="V416" s="38"/>
      <x:c r="W416" s="34"/>
      <x:c r="X416" s="34"/>
      <x:c r="Y416" s="34"/>
      <x:c r="Z416" s="34"/>
      <x:c r="AA416" s="34"/>
      <x:c r="AB416" s="34"/>
      <x:c r="AC416" s="34"/>
      <x:c r="AD416" s="34"/>
      <x:c r="AE416" s="34"/>
      <x:c r="AF416" s="34"/>
      <x:c r="AG416" s="34"/>
      <x:c r="AH416" s="35" t="str">
        <x:f>IF(COUNTA(X416:AA416)&lt;4,"",ROUND((X416*20)*45%+(((Y416-1)/4*100)*30%+((Z416-1)/4*100)*25%+(1-(AA416-1)/4)*100*25%+(1-(MAX(1,AC416:AE416)-1)/4)*100*20%)*55%,0))</x:f>
      </x:c>
      <x:c r="AI416" s="35" t="str">
        <x:f>IF(AH416="","",IF(AH416&gt;=85,"Excelente",IF(AH416&gt;=70,"Adequado",IF(AH416&gt;=50,"Atenção","Crítico"))))</x:f>
      </x:c>
    </x:row>
    <x:row r="417">
      <x:c r="A417" s="33"/>
      <x:c r="B417" s="33"/>
      <x:c r="C417" s="33"/>
      <x:c r="D417" s="33"/>
      <x:c r="E417" s="36"/>
      <x:c r="F417" s="36"/>
      <x:c r="G417" s="33"/>
      <x:c r="H417" s="33"/>
      <x:c r="I417" s="33"/>
      <x:c r="J417" s="33"/>
      <x:c r="K417" s="33"/>
      <x:c r="L417" s="33"/>
      <x:c r="M417" s="33"/>
      <x:c r="N417" s="37"/>
      <x:c r="O417" s="33"/>
      <x:c r="P417" s="33"/>
      <x:c r="Q417" s="33"/>
      <x:c r="R417" s="37"/>
      <x:c r="S417" s="33"/>
      <x:c r="T417" s="33"/>
      <x:c r="U417" s="33"/>
      <x:c r="V417" s="38"/>
      <x:c r="W417" s="34"/>
      <x:c r="X417" s="34"/>
      <x:c r="Y417" s="34"/>
      <x:c r="Z417" s="34"/>
      <x:c r="AA417" s="34"/>
      <x:c r="AB417" s="34"/>
      <x:c r="AC417" s="34"/>
      <x:c r="AD417" s="34"/>
      <x:c r="AE417" s="34"/>
      <x:c r="AF417" s="34"/>
      <x:c r="AG417" s="34"/>
      <x:c r="AH417" s="35" t="str">
        <x:f>IF(COUNTA(X417:AA417)&lt;4,"",ROUND((X417*20)*45%+(((Y417-1)/4*100)*30%+((Z417-1)/4*100)*25%+(1-(AA417-1)/4)*100*25%+(1-(MAX(1,AC417:AE417)-1)/4)*100*20%)*55%,0))</x:f>
      </x:c>
      <x:c r="AI417" s="35" t="str">
        <x:f>IF(AH417="","",IF(AH417&gt;=85,"Excelente",IF(AH417&gt;=70,"Adequado",IF(AH417&gt;=50,"Atenção","Crítico"))))</x:f>
      </x:c>
    </x:row>
    <x:row r="418">
      <x:c r="A418" s="33"/>
      <x:c r="B418" s="33"/>
      <x:c r="C418" s="33"/>
      <x:c r="D418" s="33"/>
      <x:c r="E418" s="36"/>
      <x:c r="F418" s="36"/>
      <x:c r="G418" s="33"/>
      <x:c r="H418" s="33"/>
      <x:c r="I418" s="33"/>
      <x:c r="J418" s="33"/>
      <x:c r="K418" s="33"/>
      <x:c r="L418" s="33"/>
      <x:c r="M418" s="33"/>
      <x:c r="N418" s="37"/>
      <x:c r="O418" s="33"/>
      <x:c r="P418" s="33"/>
      <x:c r="Q418" s="33"/>
      <x:c r="R418" s="37"/>
      <x:c r="S418" s="33"/>
      <x:c r="T418" s="33"/>
      <x:c r="U418" s="33"/>
      <x:c r="V418" s="38"/>
      <x:c r="W418" s="34"/>
      <x:c r="X418" s="34"/>
      <x:c r="Y418" s="34"/>
      <x:c r="Z418" s="34"/>
      <x:c r="AA418" s="34"/>
      <x:c r="AB418" s="34"/>
      <x:c r="AC418" s="34"/>
      <x:c r="AD418" s="34"/>
      <x:c r="AE418" s="34"/>
      <x:c r="AF418" s="34"/>
      <x:c r="AG418" s="34"/>
      <x:c r="AH418" s="35" t="str">
        <x:f>IF(COUNTA(X418:AA418)&lt;4,"",ROUND((X418*20)*45%+(((Y418-1)/4*100)*30%+((Z418-1)/4*100)*25%+(1-(AA418-1)/4)*100*25%+(1-(MAX(1,AC418:AE418)-1)/4)*100*20%)*55%,0))</x:f>
      </x:c>
      <x:c r="AI418" s="35" t="str">
        <x:f>IF(AH418="","",IF(AH418&gt;=85,"Excelente",IF(AH418&gt;=70,"Adequado",IF(AH418&gt;=50,"Atenção","Crítico"))))</x:f>
      </x:c>
    </x:row>
    <x:row r="419">
      <x:c r="A419" s="33"/>
      <x:c r="B419" s="33"/>
      <x:c r="C419" s="33"/>
      <x:c r="D419" s="33"/>
      <x:c r="E419" s="36"/>
      <x:c r="F419" s="36"/>
      <x:c r="G419" s="33"/>
      <x:c r="H419" s="33"/>
      <x:c r="I419" s="33"/>
      <x:c r="J419" s="33"/>
      <x:c r="K419" s="33"/>
      <x:c r="L419" s="33"/>
      <x:c r="M419" s="33"/>
      <x:c r="N419" s="37"/>
      <x:c r="O419" s="33"/>
      <x:c r="P419" s="33"/>
      <x:c r="Q419" s="33"/>
      <x:c r="R419" s="37"/>
      <x:c r="S419" s="33"/>
      <x:c r="T419" s="33"/>
      <x:c r="U419" s="33"/>
      <x:c r="V419" s="38"/>
      <x:c r="W419" s="34"/>
      <x:c r="X419" s="34"/>
      <x:c r="Y419" s="34"/>
      <x:c r="Z419" s="34"/>
      <x:c r="AA419" s="34"/>
      <x:c r="AB419" s="34"/>
      <x:c r="AC419" s="34"/>
      <x:c r="AD419" s="34"/>
      <x:c r="AE419" s="34"/>
      <x:c r="AF419" s="34"/>
      <x:c r="AG419" s="34"/>
      <x:c r="AH419" s="35" t="str">
        <x:f>IF(COUNTA(X419:AA419)&lt;4,"",ROUND((X419*20)*45%+(((Y419-1)/4*100)*30%+((Z419-1)/4*100)*25%+(1-(AA419-1)/4)*100*25%+(1-(MAX(1,AC419:AE419)-1)/4)*100*20%)*55%,0))</x:f>
      </x:c>
      <x:c r="AI419" s="35" t="str">
        <x:f>IF(AH419="","",IF(AH419&gt;=85,"Excelente",IF(AH419&gt;=70,"Adequado",IF(AH419&gt;=50,"Atenção","Crítico"))))</x:f>
      </x:c>
    </x:row>
    <x:row r="420">
      <x:c r="A420" s="33"/>
      <x:c r="B420" s="33"/>
      <x:c r="C420" s="33"/>
      <x:c r="D420" s="33"/>
      <x:c r="E420" s="36"/>
      <x:c r="F420" s="36"/>
      <x:c r="G420" s="33"/>
      <x:c r="H420" s="33"/>
      <x:c r="I420" s="33"/>
      <x:c r="J420" s="33"/>
      <x:c r="K420" s="33"/>
      <x:c r="L420" s="33"/>
      <x:c r="M420" s="33"/>
      <x:c r="N420" s="37"/>
      <x:c r="O420" s="33"/>
      <x:c r="P420" s="33"/>
      <x:c r="Q420" s="33"/>
      <x:c r="R420" s="37"/>
      <x:c r="S420" s="33"/>
      <x:c r="T420" s="33"/>
      <x:c r="U420" s="33"/>
      <x:c r="V420" s="38"/>
      <x:c r="W420" s="34"/>
      <x:c r="X420" s="34"/>
      <x:c r="Y420" s="34"/>
      <x:c r="Z420" s="34"/>
      <x:c r="AA420" s="34"/>
      <x:c r="AB420" s="34"/>
      <x:c r="AC420" s="34"/>
      <x:c r="AD420" s="34"/>
      <x:c r="AE420" s="34"/>
      <x:c r="AF420" s="34"/>
      <x:c r="AG420" s="34"/>
      <x:c r="AH420" s="35" t="str">
        <x:f>IF(COUNTA(X420:AA420)&lt;4,"",ROUND((X420*20)*45%+(((Y420-1)/4*100)*30%+((Z420-1)/4*100)*25%+(1-(AA420-1)/4)*100*25%+(1-(MAX(1,AC420:AE420)-1)/4)*100*20%)*55%,0))</x:f>
      </x:c>
      <x:c r="AI420" s="35" t="str">
        <x:f>IF(AH420="","",IF(AH420&gt;=85,"Excelente",IF(AH420&gt;=70,"Adequado",IF(AH420&gt;=50,"Atenção","Crítico"))))</x:f>
      </x:c>
    </x:row>
    <x:row r="421">
      <x:c r="A421" s="33"/>
      <x:c r="B421" s="33"/>
      <x:c r="C421" s="33"/>
      <x:c r="D421" s="33"/>
      <x:c r="E421" s="36"/>
      <x:c r="F421" s="36"/>
      <x:c r="G421" s="33"/>
      <x:c r="H421" s="33"/>
      <x:c r="I421" s="33"/>
      <x:c r="J421" s="33"/>
      <x:c r="K421" s="33"/>
      <x:c r="L421" s="33"/>
      <x:c r="M421" s="33"/>
      <x:c r="N421" s="37"/>
      <x:c r="O421" s="33"/>
      <x:c r="P421" s="33"/>
      <x:c r="Q421" s="33"/>
      <x:c r="R421" s="37"/>
      <x:c r="S421" s="33"/>
      <x:c r="T421" s="33"/>
      <x:c r="U421" s="33"/>
      <x:c r="V421" s="38"/>
      <x:c r="W421" s="34"/>
      <x:c r="X421" s="34"/>
      <x:c r="Y421" s="34"/>
      <x:c r="Z421" s="34"/>
      <x:c r="AA421" s="34"/>
      <x:c r="AB421" s="34"/>
      <x:c r="AC421" s="34"/>
      <x:c r="AD421" s="34"/>
      <x:c r="AE421" s="34"/>
      <x:c r="AF421" s="34"/>
      <x:c r="AG421" s="34"/>
      <x:c r="AH421" s="35" t="str">
        <x:f>IF(COUNTA(X421:AA421)&lt;4,"",ROUND((X421*20)*45%+(((Y421-1)/4*100)*30%+((Z421-1)/4*100)*25%+(1-(AA421-1)/4)*100*25%+(1-(MAX(1,AC421:AE421)-1)/4)*100*20%)*55%,0))</x:f>
      </x:c>
      <x:c r="AI421" s="35" t="str">
        <x:f>IF(AH421="","",IF(AH421&gt;=85,"Excelente",IF(AH421&gt;=70,"Adequado",IF(AH421&gt;=50,"Atenção","Crítico"))))</x:f>
      </x:c>
    </x:row>
    <x:row r="422">
      <x:c r="A422" s="33"/>
      <x:c r="B422" s="33"/>
      <x:c r="C422" s="33"/>
      <x:c r="D422" s="33"/>
      <x:c r="E422" s="36"/>
      <x:c r="F422" s="36"/>
      <x:c r="G422" s="33"/>
      <x:c r="H422" s="33"/>
      <x:c r="I422" s="33"/>
      <x:c r="J422" s="33"/>
      <x:c r="K422" s="33"/>
      <x:c r="L422" s="33"/>
      <x:c r="M422" s="33"/>
      <x:c r="N422" s="37"/>
      <x:c r="O422" s="33"/>
      <x:c r="P422" s="33"/>
      <x:c r="Q422" s="33"/>
      <x:c r="R422" s="37"/>
      <x:c r="S422" s="33"/>
      <x:c r="T422" s="33"/>
      <x:c r="U422" s="33"/>
      <x:c r="V422" s="38"/>
      <x:c r="W422" s="34"/>
      <x:c r="X422" s="34"/>
      <x:c r="Y422" s="34"/>
      <x:c r="Z422" s="34"/>
      <x:c r="AA422" s="34"/>
      <x:c r="AB422" s="34"/>
      <x:c r="AC422" s="34"/>
      <x:c r="AD422" s="34"/>
      <x:c r="AE422" s="34"/>
      <x:c r="AF422" s="34"/>
      <x:c r="AG422" s="34"/>
      <x:c r="AH422" s="35" t="str">
        <x:f>IF(COUNTA(X422:AA422)&lt;4,"",ROUND((X422*20)*45%+(((Y422-1)/4*100)*30%+((Z422-1)/4*100)*25%+(1-(AA422-1)/4)*100*25%+(1-(MAX(1,AC422:AE422)-1)/4)*100*20%)*55%,0))</x:f>
      </x:c>
      <x:c r="AI422" s="35" t="str">
        <x:f>IF(AH422="","",IF(AH422&gt;=85,"Excelente",IF(AH422&gt;=70,"Adequado",IF(AH422&gt;=50,"Atenção","Crítico"))))</x:f>
      </x:c>
    </x:row>
    <x:row r="423">
      <x:c r="A423" s="33"/>
      <x:c r="B423" s="33"/>
      <x:c r="C423" s="33"/>
      <x:c r="D423" s="33"/>
      <x:c r="E423" s="36"/>
      <x:c r="F423" s="36"/>
      <x:c r="G423" s="33"/>
      <x:c r="H423" s="33"/>
      <x:c r="I423" s="33"/>
      <x:c r="J423" s="33"/>
      <x:c r="K423" s="33"/>
      <x:c r="L423" s="33"/>
      <x:c r="M423" s="33"/>
      <x:c r="N423" s="37"/>
      <x:c r="O423" s="33"/>
      <x:c r="P423" s="33"/>
      <x:c r="Q423" s="33"/>
      <x:c r="R423" s="37"/>
      <x:c r="S423" s="33"/>
      <x:c r="T423" s="33"/>
      <x:c r="U423" s="33"/>
      <x:c r="V423" s="38"/>
      <x:c r="W423" s="34"/>
      <x:c r="X423" s="34"/>
      <x:c r="Y423" s="34"/>
      <x:c r="Z423" s="34"/>
      <x:c r="AA423" s="34"/>
      <x:c r="AB423" s="34"/>
      <x:c r="AC423" s="34"/>
      <x:c r="AD423" s="34"/>
      <x:c r="AE423" s="34"/>
      <x:c r="AF423" s="34"/>
      <x:c r="AG423" s="34"/>
      <x:c r="AH423" s="35" t="str">
        <x:f>IF(COUNTA(X423:AA423)&lt;4,"",ROUND((X423*20)*45%+(((Y423-1)/4*100)*30%+((Z423-1)/4*100)*25%+(1-(AA423-1)/4)*100*25%+(1-(MAX(1,AC423:AE423)-1)/4)*100*20%)*55%,0))</x:f>
      </x:c>
      <x:c r="AI423" s="35" t="str">
        <x:f>IF(AH423="","",IF(AH423&gt;=85,"Excelente",IF(AH423&gt;=70,"Adequado",IF(AH423&gt;=50,"Atenção","Crítico"))))</x:f>
      </x:c>
    </x:row>
    <x:row r="424">
      <x:c r="A424" s="33"/>
      <x:c r="B424" s="33"/>
      <x:c r="C424" s="33"/>
      <x:c r="D424" s="33"/>
      <x:c r="E424" s="36"/>
      <x:c r="F424" s="36"/>
      <x:c r="G424" s="33"/>
      <x:c r="H424" s="33"/>
      <x:c r="I424" s="33"/>
      <x:c r="J424" s="33"/>
      <x:c r="K424" s="33"/>
      <x:c r="L424" s="33"/>
      <x:c r="M424" s="33"/>
      <x:c r="N424" s="37"/>
      <x:c r="O424" s="33"/>
      <x:c r="P424" s="33"/>
      <x:c r="Q424" s="33"/>
      <x:c r="R424" s="37"/>
      <x:c r="S424" s="33"/>
      <x:c r="T424" s="33"/>
      <x:c r="U424" s="33"/>
      <x:c r="V424" s="38"/>
      <x:c r="W424" s="34"/>
      <x:c r="X424" s="34"/>
      <x:c r="Y424" s="34"/>
      <x:c r="Z424" s="34"/>
      <x:c r="AA424" s="34"/>
      <x:c r="AB424" s="34"/>
      <x:c r="AC424" s="34"/>
      <x:c r="AD424" s="34"/>
      <x:c r="AE424" s="34"/>
      <x:c r="AF424" s="34"/>
      <x:c r="AG424" s="34"/>
      <x:c r="AH424" s="35" t="str">
        <x:f>IF(COUNTA(X424:AA424)&lt;4,"",ROUND((X424*20)*45%+(((Y424-1)/4*100)*30%+((Z424-1)/4*100)*25%+(1-(AA424-1)/4)*100*25%+(1-(MAX(1,AC424:AE424)-1)/4)*100*20%)*55%,0))</x:f>
      </x:c>
      <x:c r="AI424" s="35" t="str">
        <x:f>IF(AH424="","",IF(AH424&gt;=85,"Excelente",IF(AH424&gt;=70,"Adequado",IF(AH424&gt;=50,"Atenção","Crítico"))))</x:f>
      </x:c>
    </x:row>
    <x:row r="425">
      <x:c r="A425" s="33"/>
      <x:c r="B425" s="33"/>
      <x:c r="C425" s="33"/>
      <x:c r="D425" s="33"/>
      <x:c r="E425" s="36"/>
      <x:c r="F425" s="36"/>
      <x:c r="G425" s="33"/>
      <x:c r="H425" s="33"/>
      <x:c r="I425" s="33"/>
      <x:c r="J425" s="33"/>
      <x:c r="K425" s="33"/>
      <x:c r="L425" s="33"/>
      <x:c r="M425" s="33"/>
      <x:c r="N425" s="37"/>
      <x:c r="O425" s="33"/>
      <x:c r="P425" s="33"/>
      <x:c r="Q425" s="33"/>
      <x:c r="R425" s="37"/>
      <x:c r="S425" s="33"/>
      <x:c r="T425" s="33"/>
      <x:c r="U425" s="33"/>
      <x:c r="V425" s="38"/>
      <x:c r="W425" s="34"/>
      <x:c r="X425" s="34"/>
      <x:c r="Y425" s="34"/>
      <x:c r="Z425" s="34"/>
      <x:c r="AA425" s="34"/>
      <x:c r="AB425" s="34"/>
      <x:c r="AC425" s="34"/>
      <x:c r="AD425" s="34"/>
      <x:c r="AE425" s="34"/>
      <x:c r="AF425" s="34"/>
      <x:c r="AG425" s="34"/>
      <x:c r="AH425" s="35" t="str">
        <x:f>IF(COUNTA(X425:AA425)&lt;4,"",ROUND((X425*20)*45%+(((Y425-1)/4*100)*30%+((Z425-1)/4*100)*25%+(1-(AA425-1)/4)*100*25%+(1-(MAX(1,AC425:AE425)-1)/4)*100*20%)*55%,0))</x:f>
      </x:c>
      <x:c r="AI425" s="35" t="str">
        <x:f>IF(AH425="","",IF(AH425&gt;=85,"Excelente",IF(AH425&gt;=70,"Adequado",IF(AH425&gt;=50,"Atenção","Crítico"))))</x:f>
      </x:c>
    </x:row>
    <x:row r="426">
      <x:c r="A426" s="33"/>
      <x:c r="B426" s="33"/>
      <x:c r="C426" s="33"/>
      <x:c r="D426" s="33"/>
      <x:c r="E426" s="36"/>
      <x:c r="F426" s="36"/>
      <x:c r="G426" s="33"/>
      <x:c r="H426" s="33"/>
      <x:c r="I426" s="33"/>
      <x:c r="J426" s="33"/>
      <x:c r="K426" s="33"/>
      <x:c r="L426" s="33"/>
      <x:c r="M426" s="33"/>
      <x:c r="N426" s="37"/>
      <x:c r="O426" s="33"/>
      <x:c r="P426" s="33"/>
      <x:c r="Q426" s="33"/>
      <x:c r="R426" s="37"/>
      <x:c r="S426" s="33"/>
      <x:c r="T426" s="33"/>
      <x:c r="U426" s="33"/>
      <x:c r="V426" s="38"/>
      <x:c r="W426" s="34"/>
      <x:c r="X426" s="34"/>
      <x:c r="Y426" s="34"/>
      <x:c r="Z426" s="34"/>
      <x:c r="AA426" s="34"/>
      <x:c r="AB426" s="34"/>
      <x:c r="AC426" s="34"/>
      <x:c r="AD426" s="34"/>
      <x:c r="AE426" s="34"/>
      <x:c r="AF426" s="34"/>
      <x:c r="AG426" s="34"/>
      <x:c r="AH426" s="35" t="str">
        <x:f>IF(COUNTA(X426:AA426)&lt;4,"",ROUND((X426*20)*45%+(((Y426-1)/4*100)*30%+((Z426-1)/4*100)*25%+(1-(AA426-1)/4)*100*25%+(1-(MAX(1,AC426:AE426)-1)/4)*100*20%)*55%,0))</x:f>
      </x:c>
      <x:c r="AI426" s="35" t="str">
        <x:f>IF(AH426="","",IF(AH426&gt;=85,"Excelente",IF(AH426&gt;=70,"Adequado",IF(AH426&gt;=50,"Atenção","Crítico"))))</x:f>
      </x:c>
    </x:row>
    <x:row r="427">
      <x:c r="A427" s="33"/>
      <x:c r="B427" s="33"/>
      <x:c r="C427" s="33"/>
      <x:c r="D427" s="33"/>
      <x:c r="E427" s="36"/>
      <x:c r="F427" s="36"/>
      <x:c r="G427" s="33"/>
      <x:c r="H427" s="33"/>
      <x:c r="I427" s="33"/>
      <x:c r="J427" s="33"/>
      <x:c r="K427" s="33"/>
      <x:c r="L427" s="33"/>
      <x:c r="M427" s="33"/>
      <x:c r="N427" s="37"/>
      <x:c r="O427" s="33"/>
      <x:c r="P427" s="33"/>
      <x:c r="Q427" s="33"/>
      <x:c r="R427" s="37"/>
      <x:c r="S427" s="33"/>
      <x:c r="T427" s="33"/>
      <x:c r="U427" s="33"/>
      <x:c r="V427" s="38"/>
      <x:c r="W427" s="34"/>
      <x:c r="X427" s="34"/>
      <x:c r="Y427" s="34"/>
      <x:c r="Z427" s="34"/>
      <x:c r="AA427" s="34"/>
      <x:c r="AB427" s="34"/>
      <x:c r="AC427" s="34"/>
      <x:c r="AD427" s="34"/>
      <x:c r="AE427" s="34"/>
      <x:c r="AF427" s="34"/>
      <x:c r="AG427" s="34"/>
      <x:c r="AH427" s="35" t="str">
        <x:f>IF(COUNTA(X427:AA427)&lt;4,"",ROUND((X427*20)*45%+(((Y427-1)/4*100)*30%+((Z427-1)/4*100)*25%+(1-(AA427-1)/4)*100*25%+(1-(MAX(1,AC427:AE427)-1)/4)*100*20%)*55%,0))</x:f>
      </x:c>
      <x:c r="AI427" s="35" t="str">
        <x:f>IF(AH427="","",IF(AH427&gt;=85,"Excelente",IF(AH427&gt;=70,"Adequado",IF(AH427&gt;=50,"Atenção","Crítico"))))</x:f>
      </x:c>
    </x:row>
    <x:row r="428">
      <x:c r="A428" s="33"/>
      <x:c r="B428" s="33"/>
      <x:c r="C428" s="33"/>
      <x:c r="D428" s="33"/>
      <x:c r="E428" s="36"/>
      <x:c r="F428" s="36"/>
      <x:c r="G428" s="33"/>
      <x:c r="H428" s="33"/>
      <x:c r="I428" s="33"/>
      <x:c r="J428" s="33"/>
      <x:c r="K428" s="33"/>
      <x:c r="L428" s="33"/>
      <x:c r="M428" s="33"/>
      <x:c r="N428" s="37"/>
      <x:c r="O428" s="33"/>
      <x:c r="P428" s="33"/>
      <x:c r="Q428" s="33"/>
      <x:c r="R428" s="37"/>
      <x:c r="S428" s="33"/>
      <x:c r="T428" s="33"/>
      <x:c r="U428" s="33"/>
      <x:c r="V428" s="38"/>
      <x:c r="W428" s="34"/>
      <x:c r="X428" s="34"/>
      <x:c r="Y428" s="34"/>
      <x:c r="Z428" s="34"/>
      <x:c r="AA428" s="34"/>
      <x:c r="AB428" s="34"/>
      <x:c r="AC428" s="34"/>
      <x:c r="AD428" s="34"/>
      <x:c r="AE428" s="34"/>
      <x:c r="AF428" s="34"/>
      <x:c r="AG428" s="34"/>
      <x:c r="AH428" s="35" t="str">
        <x:f>IF(COUNTA(X428:AA428)&lt;4,"",ROUND((X428*20)*45%+(((Y428-1)/4*100)*30%+((Z428-1)/4*100)*25%+(1-(AA428-1)/4)*100*25%+(1-(MAX(1,AC428:AE428)-1)/4)*100*20%)*55%,0))</x:f>
      </x:c>
      <x:c r="AI428" s="35" t="str">
        <x:f>IF(AH428="","",IF(AH428&gt;=85,"Excelente",IF(AH428&gt;=70,"Adequado",IF(AH428&gt;=50,"Atenção","Crítico"))))</x:f>
      </x:c>
    </x:row>
    <x:row r="429">
      <x:c r="A429" s="33"/>
      <x:c r="B429" s="33"/>
      <x:c r="C429" s="33"/>
      <x:c r="D429" s="33"/>
      <x:c r="E429" s="36"/>
      <x:c r="F429" s="36"/>
      <x:c r="G429" s="33"/>
      <x:c r="H429" s="33"/>
      <x:c r="I429" s="33"/>
      <x:c r="J429" s="33"/>
      <x:c r="K429" s="33"/>
      <x:c r="L429" s="33"/>
      <x:c r="M429" s="33"/>
      <x:c r="N429" s="37"/>
      <x:c r="O429" s="33"/>
      <x:c r="P429" s="33"/>
      <x:c r="Q429" s="33"/>
      <x:c r="R429" s="37"/>
      <x:c r="S429" s="33"/>
      <x:c r="T429" s="33"/>
      <x:c r="U429" s="33"/>
      <x:c r="V429" s="38"/>
      <x:c r="W429" s="34"/>
      <x:c r="X429" s="34"/>
      <x:c r="Y429" s="34"/>
      <x:c r="Z429" s="34"/>
      <x:c r="AA429" s="34"/>
      <x:c r="AB429" s="34"/>
      <x:c r="AC429" s="34"/>
      <x:c r="AD429" s="34"/>
      <x:c r="AE429" s="34"/>
      <x:c r="AF429" s="34"/>
      <x:c r="AG429" s="34"/>
      <x:c r="AH429" s="35" t="str">
        <x:f>IF(COUNTA(X429:AA429)&lt;4,"",ROUND((X429*20)*45%+(((Y429-1)/4*100)*30%+((Z429-1)/4*100)*25%+(1-(AA429-1)/4)*100*25%+(1-(MAX(1,AC429:AE429)-1)/4)*100*20%)*55%,0))</x:f>
      </x:c>
      <x:c r="AI429" s="35" t="str">
        <x:f>IF(AH429="","",IF(AH429&gt;=85,"Excelente",IF(AH429&gt;=70,"Adequado",IF(AH429&gt;=50,"Atenção","Crítico"))))</x:f>
      </x:c>
    </x:row>
    <x:row r="430">
      <x:c r="A430" s="33"/>
      <x:c r="B430" s="33"/>
      <x:c r="C430" s="33"/>
      <x:c r="D430" s="33"/>
      <x:c r="E430" s="36"/>
      <x:c r="F430" s="36"/>
      <x:c r="G430" s="33"/>
      <x:c r="H430" s="33"/>
      <x:c r="I430" s="33"/>
      <x:c r="J430" s="33"/>
      <x:c r="K430" s="33"/>
      <x:c r="L430" s="33"/>
      <x:c r="M430" s="33"/>
      <x:c r="N430" s="37"/>
      <x:c r="O430" s="33"/>
      <x:c r="P430" s="33"/>
      <x:c r="Q430" s="33"/>
      <x:c r="R430" s="37"/>
      <x:c r="S430" s="33"/>
      <x:c r="T430" s="33"/>
      <x:c r="U430" s="33"/>
      <x:c r="V430" s="38"/>
      <x:c r="W430" s="34"/>
      <x:c r="X430" s="34"/>
      <x:c r="Y430" s="34"/>
      <x:c r="Z430" s="34"/>
      <x:c r="AA430" s="34"/>
      <x:c r="AB430" s="34"/>
      <x:c r="AC430" s="34"/>
      <x:c r="AD430" s="34"/>
      <x:c r="AE430" s="34"/>
      <x:c r="AF430" s="34"/>
      <x:c r="AG430" s="34"/>
      <x:c r="AH430" s="35" t="str">
        <x:f>IF(COUNTA(X430:AA430)&lt;4,"",ROUND((X430*20)*45%+(((Y430-1)/4*100)*30%+((Z430-1)/4*100)*25%+(1-(AA430-1)/4)*100*25%+(1-(MAX(1,AC430:AE430)-1)/4)*100*20%)*55%,0))</x:f>
      </x:c>
      <x:c r="AI430" s="35" t="str">
        <x:f>IF(AH430="","",IF(AH430&gt;=85,"Excelente",IF(AH430&gt;=70,"Adequado",IF(AH430&gt;=50,"Atenção","Crítico"))))</x:f>
      </x:c>
    </x:row>
    <x:row r="431">
      <x:c r="A431" s="33"/>
      <x:c r="B431" s="33"/>
      <x:c r="C431" s="33"/>
      <x:c r="D431" s="33"/>
      <x:c r="E431" s="36"/>
      <x:c r="F431" s="36"/>
      <x:c r="G431" s="33"/>
      <x:c r="H431" s="33"/>
      <x:c r="I431" s="33"/>
      <x:c r="J431" s="33"/>
      <x:c r="K431" s="33"/>
      <x:c r="L431" s="33"/>
      <x:c r="M431" s="33"/>
      <x:c r="N431" s="37"/>
      <x:c r="O431" s="33"/>
      <x:c r="P431" s="33"/>
      <x:c r="Q431" s="33"/>
      <x:c r="R431" s="37"/>
      <x:c r="S431" s="33"/>
      <x:c r="T431" s="33"/>
      <x:c r="U431" s="33"/>
      <x:c r="V431" s="38"/>
      <x:c r="W431" s="34"/>
      <x:c r="X431" s="34"/>
      <x:c r="Y431" s="34"/>
      <x:c r="Z431" s="34"/>
      <x:c r="AA431" s="34"/>
      <x:c r="AB431" s="34"/>
      <x:c r="AC431" s="34"/>
      <x:c r="AD431" s="34"/>
      <x:c r="AE431" s="34"/>
      <x:c r="AF431" s="34"/>
      <x:c r="AG431" s="34"/>
      <x:c r="AH431" s="35" t="str">
        <x:f>IF(COUNTA(X431:AA431)&lt;4,"",ROUND((X431*20)*45%+(((Y431-1)/4*100)*30%+((Z431-1)/4*100)*25%+(1-(AA431-1)/4)*100*25%+(1-(MAX(1,AC431:AE431)-1)/4)*100*20%)*55%,0))</x:f>
      </x:c>
      <x:c r="AI431" s="35" t="str">
        <x:f>IF(AH431="","",IF(AH431&gt;=85,"Excelente",IF(AH431&gt;=70,"Adequado",IF(AH431&gt;=50,"Atenção","Crítico"))))</x:f>
      </x:c>
    </x:row>
    <x:row r="432">
      <x:c r="A432" s="33"/>
      <x:c r="B432" s="33"/>
      <x:c r="C432" s="33"/>
      <x:c r="D432" s="33"/>
      <x:c r="E432" s="36"/>
      <x:c r="F432" s="36"/>
      <x:c r="G432" s="33"/>
      <x:c r="H432" s="33"/>
      <x:c r="I432" s="33"/>
      <x:c r="J432" s="33"/>
      <x:c r="K432" s="33"/>
      <x:c r="L432" s="33"/>
      <x:c r="M432" s="33"/>
      <x:c r="N432" s="37"/>
      <x:c r="O432" s="33"/>
      <x:c r="P432" s="33"/>
      <x:c r="Q432" s="33"/>
      <x:c r="R432" s="37"/>
      <x:c r="S432" s="33"/>
      <x:c r="T432" s="33"/>
      <x:c r="U432" s="33"/>
      <x:c r="V432" s="38"/>
      <x:c r="W432" s="34"/>
      <x:c r="X432" s="34"/>
      <x:c r="Y432" s="34"/>
      <x:c r="Z432" s="34"/>
      <x:c r="AA432" s="34"/>
      <x:c r="AB432" s="34"/>
      <x:c r="AC432" s="34"/>
      <x:c r="AD432" s="34"/>
      <x:c r="AE432" s="34"/>
      <x:c r="AF432" s="34"/>
      <x:c r="AG432" s="34"/>
      <x:c r="AH432" s="35" t="str">
        <x:f>IF(COUNTA(X432:AA432)&lt;4,"",ROUND((X432*20)*45%+(((Y432-1)/4*100)*30%+((Z432-1)/4*100)*25%+(1-(AA432-1)/4)*100*25%+(1-(MAX(1,AC432:AE432)-1)/4)*100*20%)*55%,0))</x:f>
      </x:c>
      <x:c r="AI432" s="35" t="str">
        <x:f>IF(AH432="","",IF(AH432&gt;=85,"Excelente",IF(AH432&gt;=70,"Adequado",IF(AH432&gt;=50,"Atenção","Crítico"))))</x:f>
      </x:c>
    </x:row>
    <x:row r="433">
      <x:c r="A433" s="33"/>
      <x:c r="B433" s="33"/>
      <x:c r="C433" s="33"/>
      <x:c r="D433" s="33"/>
      <x:c r="E433" s="36"/>
      <x:c r="F433" s="36"/>
      <x:c r="G433" s="33"/>
      <x:c r="H433" s="33"/>
      <x:c r="I433" s="33"/>
      <x:c r="J433" s="33"/>
      <x:c r="K433" s="33"/>
      <x:c r="L433" s="33"/>
      <x:c r="M433" s="33"/>
      <x:c r="N433" s="37"/>
      <x:c r="O433" s="33"/>
      <x:c r="P433" s="33"/>
      <x:c r="Q433" s="33"/>
      <x:c r="R433" s="37"/>
      <x:c r="S433" s="33"/>
      <x:c r="T433" s="33"/>
      <x:c r="U433" s="33"/>
      <x:c r="V433" s="38"/>
      <x:c r="W433" s="34"/>
      <x:c r="X433" s="34"/>
      <x:c r="Y433" s="34"/>
      <x:c r="Z433" s="34"/>
      <x:c r="AA433" s="34"/>
      <x:c r="AB433" s="34"/>
      <x:c r="AC433" s="34"/>
      <x:c r="AD433" s="34"/>
      <x:c r="AE433" s="34"/>
      <x:c r="AF433" s="34"/>
      <x:c r="AG433" s="34"/>
      <x:c r="AH433" s="35" t="str">
        <x:f>IF(COUNTA(X433:AA433)&lt;4,"",ROUND((X433*20)*45%+(((Y433-1)/4*100)*30%+((Z433-1)/4*100)*25%+(1-(AA433-1)/4)*100*25%+(1-(MAX(1,AC433:AE433)-1)/4)*100*20%)*55%,0))</x:f>
      </x:c>
      <x:c r="AI433" s="35" t="str">
        <x:f>IF(AH433="","",IF(AH433&gt;=85,"Excelente",IF(AH433&gt;=70,"Adequado",IF(AH433&gt;=50,"Atenção","Crítico"))))</x:f>
      </x:c>
    </x:row>
    <x:row r="434">
      <x:c r="A434" s="33"/>
      <x:c r="B434" s="33"/>
      <x:c r="C434" s="33"/>
      <x:c r="D434" s="33"/>
      <x:c r="E434" s="36"/>
      <x:c r="F434" s="36"/>
      <x:c r="G434" s="33"/>
      <x:c r="H434" s="33"/>
      <x:c r="I434" s="33"/>
      <x:c r="J434" s="33"/>
      <x:c r="K434" s="33"/>
      <x:c r="L434" s="33"/>
      <x:c r="M434" s="33"/>
      <x:c r="N434" s="37"/>
      <x:c r="O434" s="33"/>
      <x:c r="P434" s="33"/>
      <x:c r="Q434" s="33"/>
      <x:c r="R434" s="37"/>
      <x:c r="S434" s="33"/>
      <x:c r="T434" s="33"/>
      <x:c r="U434" s="33"/>
      <x:c r="V434" s="38"/>
      <x:c r="W434" s="34"/>
      <x:c r="X434" s="34"/>
      <x:c r="Y434" s="34"/>
      <x:c r="Z434" s="34"/>
      <x:c r="AA434" s="34"/>
      <x:c r="AB434" s="34"/>
      <x:c r="AC434" s="34"/>
      <x:c r="AD434" s="34"/>
      <x:c r="AE434" s="34"/>
      <x:c r="AF434" s="34"/>
      <x:c r="AG434" s="34"/>
      <x:c r="AH434" s="35" t="str">
        <x:f>IF(COUNTA(X434:AA434)&lt;4,"",ROUND((X434*20)*45%+(((Y434-1)/4*100)*30%+((Z434-1)/4*100)*25%+(1-(AA434-1)/4)*100*25%+(1-(MAX(1,AC434:AE434)-1)/4)*100*20%)*55%,0))</x:f>
      </x:c>
      <x:c r="AI434" s="35" t="str">
        <x:f>IF(AH434="","",IF(AH434&gt;=85,"Excelente",IF(AH434&gt;=70,"Adequado",IF(AH434&gt;=50,"Atenção","Crítico"))))</x:f>
      </x:c>
    </x:row>
    <x:row r="435">
      <x:c r="A435" s="33"/>
      <x:c r="B435" s="33"/>
      <x:c r="C435" s="33"/>
      <x:c r="D435" s="33"/>
      <x:c r="E435" s="36"/>
      <x:c r="F435" s="36"/>
      <x:c r="G435" s="33"/>
      <x:c r="H435" s="33"/>
      <x:c r="I435" s="33"/>
      <x:c r="J435" s="33"/>
      <x:c r="K435" s="33"/>
      <x:c r="L435" s="33"/>
      <x:c r="M435" s="33"/>
      <x:c r="N435" s="37"/>
      <x:c r="O435" s="33"/>
      <x:c r="P435" s="33"/>
      <x:c r="Q435" s="33"/>
      <x:c r="R435" s="37"/>
      <x:c r="S435" s="33"/>
      <x:c r="T435" s="33"/>
      <x:c r="U435" s="33"/>
      <x:c r="V435" s="38"/>
      <x:c r="W435" s="34"/>
      <x:c r="X435" s="34"/>
      <x:c r="Y435" s="34"/>
      <x:c r="Z435" s="34"/>
      <x:c r="AA435" s="34"/>
      <x:c r="AB435" s="34"/>
      <x:c r="AC435" s="34"/>
      <x:c r="AD435" s="34"/>
      <x:c r="AE435" s="34"/>
      <x:c r="AF435" s="34"/>
      <x:c r="AG435" s="34"/>
      <x:c r="AH435" s="35" t="str">
        <x:f>IF(COUNTA(X435:AA435)&lt;4,"",ROUND((X435*20)*45%+(((Y435-1)/4*100)*30%+((Z435-1)/4*100)*25%+(1-(AA435-1)/4)*100*25%+(1-(MAX(1,AC435:AE435)-1)/4)*100*20%)*55%,0))</x:f>
      </x:c>
      <x:c r="AI435" s="35" t="str">
        <x:f>IF(AH435="","",IF(AH435&gt;=85,"Excelente",IF(AH435&gt;=70,"Adequado",IF(AH435&gt;=50,"Atenção","Crítico"))))</x:f>
      </x:c>
    </x:row>
    <x:row r="436">
      <x:c r="A436" s="33"/>
      <x:c r="B436" s="33"/>
      <x:c r="C436" s="33"/>
      <x:c r="D436" s="33"/>
      <x:c r="E436" s="36"/>
      <x:c r="F436" s="36"/>
      <x:c r="G436" s="33"/>
      <x:c r="H436" s="33"/>
      <x:c r="I436" s="33"/>
      <x:c r="J436" s="33"/>
      <x:c r="K436" s="33"/>
      <x:c r="L436" s="33"/>
      <x:c r="M436" s="33"/>
      <x:c r="N436" s="37"/>
      <x:c r="O436" s="33"/>
      <x:c r="P436" s="33"/>
      <x:c r="Q436" s="33"/>
      <x:c r="R436" s="37"/>
      <x:c r="S436" s="33"/>
      <x:c r="T436" s="33"/>
      <x:c r="U436" s="33"/>
      <x:c r="V436" s="38"/>
      <x:c r="W436" s="34"/>
      <x:c r="X436" s="34"/>
      <x:c r="Y436" s="34"/>
      <x:c r="Z436" s="34"/>
      <x:c r="AA436" s="34"/>
      <x:c r="AB436" s="34"/>
      <x:c r="AC436" s="34"/>
      <x:c r="AD436" s="34"/>
      <x:c r="AE436" s="34"/>
      <x:c r="AF436" s="34"/>
      <x:c r="AG436" s="34"/>
      <x:c r="AH436" s="35" t="str">
        <x:f>IF(COUNTA(X436:AA436)&lt;4,"",ROUND((X436*20)*45%+(((Y436-1)/4*100)*30%+((Z436-1)/4*100)*25%+(1-(AA436-1)/4)*100*25%+(1-(MAX(1,AC436:AE436)-1)/4)*100*20%)*55%,0))</x:f>
      </x:c>
      <x:c r="AI436" s="35" t="str">
        <x:f>IF(AH436="","",IF(AH436&gt;=85,"Excelente",IF(AH436&gt;=70,"Adequado",IF(AH436&gt;=50,"Atenção","Crítico"))))</x:f>
      </x:c>
    </x:row>
    <x:row r="437">
      <x:c r="A437" s="33"/>
      <x:c r="B437" s="33"/>
      <x:c r="C437" s="33"/>
      <x:c r="D437" s="33"/>
      <x:c r="E437" s="36"/>
      <x:c r="F437" s="36"/>
      <x:c r="G437" s="33"/>
      <x:c r="H437" s="33"/>
      <x:c r="I437" s="33"/>
      <x:c r="J437" s="33"/>
      <x:c r="K437" s="33"/>
      <x:c r="L437" s="33"/>
      <x:c r="M437" s="33"/>
      <x:c r="N437" s="37"/>
      <x:c r="O437" s="33"/>
      <x:c r="P437" s="33"/>
      <x:c r="Q437" s="33"/>
      <x:c r="R437" s="37"/>
      <x:c r="S437" s="33"/>
      <x:c r="T437" s="33"/>
      <x:c r="U437" s="33"/>
      <x:c r="V437" s="38"/>
      <x:c r="W437" s="34"/>
      <x:c r="X437" s="34"/>
      <x:c r="Y437" s="34"/>
      <x:c r="Z437" s="34"/>
      <x:c r="AA437" s="34"/>
      <x:c r="AB437" s="34"/>
      <x:c r="AC437" s="34"/>
      <x:c r="AD437" s="34"/>
      <x:c r="AE437" s="34"/>
      <x:c r="AF437" s="34"/>
      <x:c r="AG437" s="34"/>
      <x:c r="AH437" s="35" t="str">
        <x:f>IF(COUNTA(X437:AA437)&lt;4,"",ROUND((X437*20)*45%+(((Y437-1)/4*100)*30%+((Z437-1)/4*100)*25%+(1-(AA437-1)/4)*100*25%+(1-(MAX(1,AC437:AE437)-1)/4)*100*20%)*55%,0))</x:f>
      </x:c>
      <x:c r="AI437" s="35" t="str">
        <x:f>IF(AH437="","",IF(AH437&gt;=85,"Excelente",IF(AH437&gt;=70,"Adequado",IF(AH437&gt;=50,"Atenção","Crítico"))))</x:f>
      </x:c>
    </x:row>
    <x:row r="438">
      <x:c r="A438" s="33"/>
      <x:c r="B438" s="33"/>
      <x:c r="C438" s="33"/>
      <x:c r="D438" s="33"/>
      <x:c r="E438" s="36"/>
      <x:c r="F438" s="36"/>
      <x:c r="G438" s="33"/>
      <x:c r="H438" s="33"/>
      <x:c r="I438" s="33"/>
      <x:c r="J438" s="33"/>
      <x:c r="K438" s="33"/>
      <x:c r="L438" s="33"/>
      <x:c r="M438" s="33"/>
      <x:c r="N438" s="37"/>
      <x:c r="O438" s="33"/>
      <x:c r="P438" s="33"/>
      <x:c r="Q438" s="33"/>
      <x:c r="R438" s="37"/>
      <x:c r="S438" s="33"/>
      <x:c r="T438" s="33"/>
      <x:c r="U438" s="33"/>
      <x:c r="V438" s="38"/>
      <x:c r="W438" s="34"/>
      <x:c r="X438" s="34"/>
      <x:c r="Y438" s="34"/>
      <x:c r="Z438" s="34"/>
      <x:c r="AA438" s="34"/>
      <x:c r="AB438" s="34"/>
      <x:c r="AC438" s="34"/>
      <x:c r="AD438" s="34"/>
      <x:c r="AE438" s="34"/>
      <x:c r="AF438" s="34"/>
      <x:c r="AG438" s="34"/>
      <x:c r="AH438" s="35" t="str">
        <x:f>IF(COUNTA(X438:AA438)&lt;4,"",ROUND((X438*20)*45%+(((Y438-1)/4*100)*30%+((Z438-1)/4*100)*25%+(1-(AA438-1)/4)*100*25%+(1-(MAX(1,AC438:AE438)-1)/4)*100*20%)*55%,0))</x:f>
      </x:c>
      <x:c r="AI438" s="35" t="str">
        <x:f>IF(AH438="","",IF(AH438&gt;=85,"Excelente",IF(AH438&gt;=70,"Adequado",IF(AH438&gt;=50,"Atenção","Crítico"))))</x:f>
      </x:c>
    </x:row>
    <x:row r="439">
      <x:c r="A439" s="33"/>
      <x:c r="B439" s="33"/>
      <x:c r="C439" s="33"/>
      <x:c r="D439" s="33"/>
      <x:c r="E439" s="36"/>
      <x:c r="F439" s="36"/>
      <x:c r="G439" s="33"/>
      <x:c r="H439" s="33"/>
      <x:c r="I439" s="33"/>
      <x:c r="J439" s="33"/>
      <x:c r="K439" s="33"/>
      <x:c r="L439" s="33"/>
      <x:c r="M439" s="33"/>
      <x:c r="N439" s="37"/>
      <x:c r="O439" s="33"/>
      <x:c r="P439" s="33"/>
      <x:c r="Q439" s="33"/>
      <x:c r="R439" s="37"/>
      <x:c r="S439" s="33"/>
      <x:c r="T439" s="33"/>
      <x:c r="U439" s="33"/>
      <x:c r="V439" s="38"/>
      <x:c r="W439" s="34"/>
      <x:c r="X439" s="34"/>
      <x:c r="Y439" s="34"/>
      <x:c r="Z439" s="34"/>
      <x:c r="AA439" s="34"/>
      <x:c r="AB439" s="34"/>
      <x:c r="AC439" s="34"/>
      <x:c r="AD439" s="34"/>
      <x:c r="AE439" s="34"/>
      <x:c r="AF439" s="34"/>
      <x:c r="AG439" s="34"/>
      <x:c r="AH439" s="35" t="str">
        <x:f>IF(COUNTA(X439:AA439)&lt;4,"",ROUND((X439*20)*45%+(((Y439-1)/4*100)*30%+((Z439-1)/4*100)*25%+(1-(AA439-1)/4)*100*25%+(1-(MAX(1,AC439:AE439)-1)/4)*100*20%)*55%,0))</x:f>
      </x:c>
      <x:c r="AI439" s="35" t="str">
        <x:f>IF(AH439="","",IF(AH439&gt;=85,"Excelente",IF(AH439&gt;=70,"Adequado",IF(AH439&gt;=50,"Atenção","Crítico"))))</x:f>
      </x:c>
    </x:row>
    <x:row r="440">
      <x:c r="A440" s="33"/>
      <x:c r="B440" s="33"/>
      <x:c r="C440" s="33"/>
      <x:c r="D440" s="33"/>
      <x:c r="E440" s="36"/>
      <x:c r="F440" s="36"/>
      <x:c r="G440" s="33"/>
      <x:c r="H440" s="33"/>
      <x:c r="I440" s="33"/>
      <x:c r="J440" s="33"/>
      <x:c r="K440" s="33"/>
      <x:c r="L440" s="33"/>
      <x:c r="M440" s="33"/>
      <x:c r="N440" s="37"/>
      <x:c r="O440" s="33"/>
      <x:c r="P440" s="33"/>
      <x:c r="Q440" s="33"/>
      <x:c r="R440" s="37"/>
      <x:c r="S440" s="33"/>
      <x:c r="T440" s="33"/>
      <x:c r="U440" s="33"/>
      <x:c r="V440" s="38"/>
      <x:c r="W440" s="34"/>
      <x:c r="X440" s="34"/>
      <x:c r="Y440" s="34"/>
      <x:c r="Z440" s="34"/>
      <x:c r="AA440" s="34"/>
      <x:c r="AB440" s="34"/>
      <x:c r="AC440" s="34"/>
      <x:c r="AD440" s="34"/>
      <x:c r="AE440" s="34"/>
      <x:c r="AF440" s="34"/>
      <x:c r="AG440" s="34"/>
      <x:c r="AH440" s="35" t="str">
        <x:f>IF(COUNTA(X440:AA440)&lt;4,"",ROUND((X440*20)*45%+(((Y440-1)/4*100)*30%+((Z440-1)/4*100)*25%+(1-(AA440-1)/4)*100*25%+(1-(MAX(1,AC440:AE440)-1)/4)*100*20%)*55%,0))</x:f>
      </x:c>
      <x:c r="AI440" s="35" t="str">
        <x:f>IF(AH440="","",IF(AH440&gt;=85,"Excelente",IF(AH440&gt;=70,"Adequado",IF(AH440&gt;=50,"Atenção","Crítico"))))</x:f>
      </x:c>
    </x:row>
    <x:row r="441">
      <x:c r="A441" s="33"/>
      <x:c r="B441" s="33"/>
      <x:c r="C441" s="33"/>
      <x:c r="D441" s="33"/>
      <x:c r="E441" s="36"/>
      <x:c r="F441" s="36"/>
      <x:c r="G441" s="33"/>
      <x:c r="H441" s="33"/>
      <x:c r="I441" s="33"/>
      <x:c r="J441" s="33"/>
      <x:c r="K441" s="33"/>
      <x:c r="L441" s="33"/>
      <x:c r="M441" s="33"/>
      <x:c r="N441" s="37"/>
      <x:c r="O441" s="33"/>
      <x:c r="P441" s="33"/>
      <x:c r="Q441" s="33"/>
      <x:c r="R441" s="37"/>
      <x:c r="S441" s="33"/>
      <x:c r="T441" s="33"/>
      <x:c r="U441" s="33"/>
      <x:c r="V441" s="38"/>
      <x:c r="W441" s="34"/>
      <x:c r="X441" s="34"/>
      <x:c r="Y441" s="34"/>
      <x:c r="Z441" s="34"/>
      <x:c r="AA441" s="34"/>
      <x:c r="AB441" s="34"/>
      <x:c r="AC441" s="34"/>
      <x:c r="AD441" s="34"/>
      <x:c r="AE441" s="34"/>
      <x:c r="AF441" s="34"/>
      <x:c r="AG441" s="34"/>
      <x:c r="AH441" s="35" t="str">
        <x:f>IF(COUNTA(X441:AA441)&lt;4,"",ROUND((X441*20)*45%+(((Y441-1)/4*100)*30%+((Z441-1)/4*100)*25%+(1-(AA441-1)/4)*100*25%+(1-(MAX(1,AC441:AE441)-1)/4)*100*20%)*55%,0))</x:f>
      </x:c>
      <x:c r="AI441" s="35" t="str">
        <x:f>IF(AH441="","",IF(AH441&gt;=85,"Excelente",IF(AH441&gt;=70,"Adequado",IF(AH441&gt;=50,"Atenção","Crítico"))))</x:f>
      </x:c>
    </x:row>
    <x:row r="442">
      <x:c r="A442" s="33"/>
      <x:c r="B442" s="33"/>
      <x:c r="C442" s="33"/>
      <x:c r="D442" s="33"/>
      <x:c r="E442" s="36"/>
      <x:c r="F442" s="36"/>
      <x:c r="G442" s="33"/>
      <x:c r="H442" s="33"/>
      <x:c r="I442" s="33"/>
      <x:c r="J442" s="33"/>
      <x:c r="K442" s="33"/>
      <x:c r="L442" s="33"/>
      <x:c r="M442" s="33"/>
      <x:c r="N442" s="37"/>
      <x:c r="O442" s="33"/>
      <x:c r="P442" s="33"/>
      <x:c r="Q442" s="33"/>
      <x:c r="R442" s="37"/>
      <x:c r="S442" s="33"/>
      <x:c r="T442" s="33"/>
      <x:c r="U442" s="33"/>
      <x:c r="V442" s="38"/>
      <x:c r="W442" s="34"/>
      <x:c r="X442" s="34"/>
      <x:c r="Y442" s="34"/>
      <x:c r="Z442" s="34"/>
      <x:c r="AA442" s="34"/>
      <x:c r="AB442" s="34"/>
      <x:c r="AC442" s="34"/>
      <x:c r="AD442" s="34"/>
      <x:c r="AE442" s="34"/>
      <x:c r="AF442" s="34"/>
      <x:c r="AG442" s="34"/>
      <x:c r="AH442" s="35" t="str">
        <x:f>IF(COUNTA(X442:AA442)&lt;4,"",ROUND((X442*20)*45%+(((Y442-1)/4*100)*30%+((Z442-1)/4*100)*25%+(1-(AA442-1)/4)*100*25%+(1-(MAX(1,AC442:AE442)-1)/4)*100*20%)*55%,0))</x:f>
      </x:c>
      <x:c r="AI442" s="35" t="str">
        <x:f>IF(AH442="","",IF(AH442&gt;=85,"Excelente",IF(AH442&gt;=70,"Adequado",IF(AH442&gt;=50,"Atenção","Crítico"))))</x:f>
      </x:c>
    </x:row>
    <x:row r="443">
      <x:c r="A443" s="33"/>
      <x:c r="B443" s="33"/>
      <x:c r="C443" s="33"/>
      <x:c r="D443" s="33"/>
      <x:c r="E443" s="36"/>
      <x:c r="F443" s="36"/>
      <x:c r="G443" s="33"/>
      <x:c r="H443" s="33"/>
      <x:c r="I443" s="33"/>
      <x:c r="J443" s="33"/>
      <x:c r="K443" s="33"/>
      <x:c r="L443" s="33"/>
      <x:c r="M443" s="33"/>
      <x:c r="N443" s="37"/>
      <x:c r="O443" s="33"/>
      <x:c r="P443" s="33"/>
      <x:c r="Q443" s="33"/>
      <x:c r="R443" s="37"/>
      <x:c r="S443" s="33"/>
      <x:c r="T443" s="33"/>
      <x:c r="U443" s="33"/>
      <x:c r="V443" s="38"/>
      <x:c r="W443" s="34"/>
      <x:c r="X443" s="34"/>
      <x:c r="Y443" s="34"/>
      <x:c r="Z443" s="34"/>
      <x:c r="AA443" s="34"/>
      <x:c r="AB443" s="34"/>
      <x:c r="AC443" s="34"/>
      <x:c r="AD443" s="34"/>
      <x:c r="AE443" s="34"/>
      <x:c r="AF443" s="34"/>
      <x:c r="AG443" s="34"/>
      <x:c r="AH443" s="35" t="str">
        <x:f>IF(COUNTA(X443:AA443)&lt;4,"",ROUND((X443*20)*45%+(((Y443-1)/4*100)*30%+((Z443-1)/4*100)*25%+(1-(AA443-1)/4)*100*25%+(1-(MAX(1,AC443:AE443)-1)/4)*100*20%)*55%,0))</x:f>
      </x:c>
      <x:c r="AI443" s="35" t="str">
        <x:f>IF(AH443="","",IF(AH443&gt;=85,"Excelente",IF(AH443&gt;=70,"Adequado",IF(AH443&gt;=50,"Atenção","Crítico"))))</x:f>
      </x:c>
    </x:row>
    <x:row r="444">
      <x:c r="A444" s="33"/>
      <x:c r="B444" s="33"/>
      <x:c r="C444" s="33"/>
      <x:c r="D444" s="33"/>
      <x:c r="E444" s="36"/>
      <x:c r="F444" s="36"/>
      <x:c r="G444" s="33"/>
      <x:c r="H444" s="33"/>
      <x:c r="I444" s="33"/>
      <x:c r="J444" s="33"/>
      <x:c r="K444" s="33"/>
      <x:c r="L444" s="33"/>
      <x:c r="M444" s="33"/>
      <x:c r="N444" s="37"/>
      <x:c r="O444" s="33"/>
      <x:c r="P444" s="33"/>
      <x:c r="Q444" s="33"/>
      <x:c r="R444" s="37"/>
      <x:c r="S444" s="33"/>
      <x:c r="T444" s="33"/>
      <x:c r="U444" s="33"/>
      <x:c r="V444" s="38"/>
      <x:c r="W444" s="34"/>
      <x:c r="X444" s="34"/>
      <x:c r="Y444" s="34"/>
      <x:c r="Z444" s="34"/>
      <x:c r="AA444" s="34"/>
      <x:c r="AB444" s="34"/>
      <x:c r="AC444" s="34"/>
      <x:c r="AD444" s="34"/>
      <x:c r="AE444" s="34"/>
      <x:c r="AF444" s="34"/>
      <x:c r="AG444" s="34"/>
      <x:c r="AH444" s="35" t="str">
        <x:f>IF(COUNTA(X444:AA444)&lt;4,"",ROUND((X444*20)*45%+(((Y444-1)/4*100)*30%+((Z444-1)/4*100)*25%+(1-(AA444-1)/4)*100*25%+(1-(MAX(1,AC444:AE444)-1)/4)*100*20%)*55%,0))</x:f>
      </x:c>
      <x:c r="AI444" s="35" t="str">
        <x:f>IF(AH444="","",IF(AH444&gt;=85,"Excelente",IF(AH444&gt;=70,"Adequado",IF(AH444&gt;=50,"Atenção","Crítico"))))</x:f>
      </x:c>
    </x:row>
    <x:row r="445">
      <x:c r="A445" s="33"/>
      <x:c r="B445" s="33"/>
      <x:c r="C445" s="33"/>
      <x:c r="D445" s="33"/>
      <x:c r="E445" s="36"/>
      <x:c r="F445" s="36"/>
      <x:c r="G445" s="33"/>
      <x:c r="H445" s="33"/>
      <x:c r="I445" s="33"/>
      <x:c r="J445" s="33"/>
      <x:c r="K445" s="33"/>
      <x:c r="L445" s="33"/>
      <x:c r="M445" s="33"/>
      <x:c r="N445" s="37"/>
      <x:c r="O445" s="33"/>
      <x:c r="P445" s="33"/>
      <x:c r="Q445" s="33"/>
      <x:c r="R445" s="37"/>
      <x:c r="S445" s="33"/>
      <x:c r="T445" s="33"/>
      <x:c r="U445" s="33"/>
      <x:c r="V445" s="38"/>
      <x:c r="W445" s="34"/>
      <x:c r="X445" s="34"/>
      <x:c r="Y445" s="34"/>
      <x:c r="Z445" s="34"/>
      <x:c r="AA445" s="34"/>
      <x:c r="AB445" s="34"/>
      <x:c r="AC445" s="34"/>
      <x:c r="AD445" s="34"/>
      <x:c r="AE445" s="34"/>
      <x:c r="AF445" s="34"/>
      <x:c r="AG445" s="34"/>
      <x:c r="AH445" s="35" t="str">
        <x:f>IF(COUNTA(X445:AA445)&lt;4,"",ROUND((X445*20)*45%+(((Y445-1)/4*100)*30%+((Z445-1)/4*100)*25%+(1-(AA445-1)/4)*100*25%+(1-(MAX(1,AC445:AE445)-1)/4)*100*20%)*55%,0))</x:f>
      </x:c>
      <x:c r="AI445" s="35" t="str">
        <x:f>IF(AH445="","",IF(AH445&gt;=85,"Excelente",IF(AH445&gt;=70,"Adequado",IF(AH445&gt;=50,"Atenção","Crítico"))))</x:f>
      </x:c>
    </x:row>
    <x:row r="446">
      <x:c r="A446" s="33"/>
      <x:c r="B446" s="33"/>
      <x:c r="C446" s="33"/>
      <x:c r="D446" s="33"/>
      <x:c r="E446" s="36"/>
      <x:c r="F446" s="36"/>
      <x:c r="G446" s="33"/>
      <x:c r="H446" s="33"/>
      <x:c r="I446" s="33"/>
      <x:c r="J446" s="33"/>
      <x:c r="K446" s="33"/>
      <x:c r="L446" s="33"/>
      <x:c r="M446" s="33"/>
      <x:c r="N446" s="37"/>
      <x:c r="O446" s="33"/>
      <x:c r="P446" s="33"/>
      <x:c r="Q446" s="33"/>
      <x:c r="R446" s="37"/>
      <x:c r="S446" s="33"/>
      <x:c r="T446" s="33"/>
      <x:c r="U446" s="33"/>
      <x:c r="V446" s="38"/>
      <x:c r="W446" s="34"/>
      <x:c r="X446" s="34"/>
      <x:c r="Y446" s="34"/>
      <x:c r="Z446" s="34"/>
      <x:c r="AA446" s="34"/>
      <x:c r="AB446" s="34"/>
      <x:c r="AC446" s="34"/>
      <x:c r="AD446" s="34"/>
      <x:c r="AE446" s="34"/>
      <x:c r="AF446" s="34"/>
      <x:c r="AG446" s="34"/>
      <x:c r="AH446" s="35" t="str">
        <x:f>IF(COUNTA(X446:AA446)&lt;4,"",ROUND((X446*20)*45%+(((Y446-1)/4*100)*30%+((Z446-1)/4*100)*25%+(1-(AA446-1)/4)*100*25%+(1-(MAX(1,AC446:AE446)-1)/4)*100*20%)*55%,0))</x:f>
      </x:c>
      <x:c r="AI446" s="35" t="str">
        <x:f>IF(AH446="","",IF(AH446&gt;=85,"Excelente",IF(AH446&gt;=70,"Adequado",IF(AH446&gt;=50,"Atenção","Crítico"))))</x:f>
      </x:c>
    </x:row>
    <x:row r="447">
      <x:c r="A447" s="33"/>
      <x:c r="B447" s="33"/>
      <x:c r="C447" s="33"/>
      <x:c r="D447" s="33"/>
      <x:c r="E447" s="36"/>
      <x:c r="F447" s="36"/>
      <x:c r="G447" s="33"/>
      <x:c r="H447" s="33"/>
      <x:c r="I447" s="33"/>
      <x:c r="J447" s="33"/>
      <x:c r="K447" s="33"/>
      <x:c r="L447" s="33"/>
      <x:c r="M447" s="33"/>
      <x:c r="N447" s="37"/>
      <x:c r="O447" s="33"/>
      <x:c r="P447" s="33"/>
      <x:c r="Q447" s="33"/>
      <x:c r="R447" s="37"/>
      <x:c r="S447" s="33"/>
      <x:c r="T447" s="33"/>
      <x:c r="U447" s="33"/>
      <x:c r="V447" s="38"/>
      <x:c r="W447" s="34"/>
      <x:c r="X447" s="34"/>
      <x:c r="Y447" s="34"/>
      <x:c r="Z447" s="34"/>
      <x:c r="AA447" s="34"/>
      <x:c r="AB447" s="34"/>
      <x:c r="AC447" s="34"/>
      <x:c r="AD447" s="34"/>
      <x:c r="AE447" s="34"/>
      <x:c r="AF447" s="34"/>
      <x:c r="AG447" s="34"/>
      <x:c r="AH447" s="35" t="str">
        <x:f>IF(COUNTA(X447:AA447)&lt;4,"",ROUND((X447*20)*45%+(((Y447-1)/4*100)*30%+((Z447-1)/4*100)*25%+(1-(AA447-1)/4)*100*25%+(1-(MAX(1,AC447:AE447)-1)/4)*100*20%)*55%,0))</x:f>
      </x:c>
      <x:c r="AI447" s="35" t="str">
        <x:f>IF(AH447="","",IF(AH447&gt;=85,"Excelente",IF(AH447&gt;=70,"Adequado",IF(AH447&gt;=50,"Atenção","Crítico"))))</x:f>
      </x:c>
    </x:row>
    <x:row r="448">
      <x:c r="A448" s="33"/>
      <x:c r="B448" s="33"/>
      <x:c r="C448" s="33"/>
      <x:c r="D448" s="33"/>
      <x:c r="E448" s="36"/>
      <x:c r="F448" s="36"/>
      <x:c r="G448" s="33"/>
      <x:c r="H448" s="33"/>
      <x:c r="I448" s="33"/>
      <x:c r="J448" s="33"/>
      <x:c r="K448" s="33"/>
      <x:c r="L448" s="33"/>
      <x:c r="M448" s="33"/>
      <x:c r="N448" s="37"/>
      <x:c r="O448" s="33"/>
      <x:c r="P448" s="33"/>
      <x:c r="Q448" s="33"/>
      <x:c r="R448" s="37"/>
      <x:c r="S448" s="33"/>
      <x:c r="T448" s="33"/>
      <x:c r="U448" s="33"/>
      <x:c r="V448" s="38"/>
      <x:c r="W448" s="34"/>
      <x:c r="X448" s="34"/>
      <x:c r="Y448" s="34"/>
      <x:c r="Z448" s="34"/>
      <x:c r="AA448" s="34"/>
      <x:c r="AB448" s="34"/>
      <x:c r="AC448" s="34"/>
      <x:c r="AD448" s="34"/>
      <x:c r="AE448" s="34"/>
      <x:c r="AF448" s="34"/>
      <x:c r="AG448" s="34"/>
      <x:c r="AH448" s="35" t="str">
        <x:f>IF(COUNTA(X448:AA448)&lt;4,"",ROUND((X448*20)*45%+(((Y448-1)/4*100)*30%+((Z448-1)/4*100)*25%+(1-(AA448-1)/4)*100*25%+(1-(MAX(1,AC448:AE448)-1)/4)*100*20%)*55%,0))</x:f>
      </x:c>
      <x:c r="AI448" s="35" t="str">
        <x:f>IF(AH448="","",IF(AH448&gt;=85,"Excelente",IF(AH448&gt;=70,"Adequado",IF(AH448&gt;=50,"Atenção","Crítico"))))</x:f>
      </x:c>
    </x:row>
    <x:row r="449">
      <x:c r="A449" s="33"/>
      <x:c r="B449" s="33"/>
      <x:c r="C449" s="33"/>
      <x:c r="D449" s="33"/>
      <x:c r="E449" s="36"/>
      <x:c r="F449" s="36"/>
      <x:c r="G449" s="33"/>
      <x:c r="H449" s="33"/>
      <x:c r="I449" s="33"/>
      <x:c r="J449" s="33"/>
      <x:c r="K449" s="33"/>
      <x:c r="L449" s="33"/>
      <x:c r="M449" s="33"/>
      <x:c r="N449" s="37"/>
      <x:c r="O449" s="33"/>
      <x:c r="P449" s="33"/>
      <x:c r="Q449" s="33"/>
      <x:c r="R449" s="37"/>
      <x:c r="S449" s="33"/>
      <x:c r="T449" s="33"/>
      <x:c r="U449" s="33"/>
      <x:c r="V449" s="38"/>
      <x:c r="W449" s="34"/>
      <x:c r="X449" s="34"/>
      <x:c r="Y449" s="34"/>
      <x:c r="Z449" s="34"/>
      <x:c r="AA449" s="34"/>
      <x:c r="AB449" s="34"/>
      <x:c r="AC449" s="34"/>
      <x:c r="AD449" s="34"/>
      <x:c r="AE449" s="34"/>
      <x:c r="AF449" s="34"/>
      <x:c r="AG449" s="34"/>
      <x:c r="AH449" s="35" t="str">
        <x:f>IF(COUNTA(X449:AA449)&lt;4,"",ROUND((X449*20)*45%+(((Y449-1)/4*100)*30%+((Z449-1)/4*100)*25%+(1-(AA449-1)/4)*100*25%+(1-(MAX(1,AC449:AE449)-1)/4)*100*20%)*55%,0))</x:f>
      </x:c>
      <x:c r="AI449" s="35" t="str">
        <x:f>IF(AH449="","",IF(AH449&gt;=85,"Excelente",IF(AH449&gt;=70,"Adequado",IF(AH449&gt;=50,"Atenção","Crítico"))))</x:f>
      </x:c>
    </x:row>
    <x:row r="450">
      <x:c r="A450" s="33"/>
      <x:c r="B450" s="33"/>
      <x:c r="C450" s="33"/>
      <x:c r="D450" s="33"/>
      <x:c r="E450" s="36"/>
      <x:c r="F450" s="36"/>
      <x:c r="G450" s="33"/>
      <x:c r="H450" s="33"/>
      <x:c r="I450" s="33"/>
      <x:c r="J450" s="33"/>
      <x:c r="K450" s="33"/>
      <x:c r="L450" s="33"/>
      <x:c r="M450" s="33"/>
      <x:c r="N450" s="37"/>
      <x:c r="O450" s="33"/>
      <x:c r="P450" s="33"/>
      <x:c r="Q450" s="33"/>
      <x:c r="R450" s="37"/>
      <x:c r="S450" s="33"/>
      <x:c r="T450" s="33"/>
      <x:c r="U450" s="33"/>
      <x:c r="V450" s="38"/>
      <x:c r="W450" s="34"/>
      <x:c r="X450" s="34"/>
      <x:c r="Y450" s="34"/>
      <x:c r="Z450" s="34"/>
      <x:c r="AA450" s="34"/>
      <x:c r="AB450" s="34"/>
      <x:c r="AC450" s="34"/>
      <x:c r="AD450" s="34"/>
      <x:c r="AE450" s="34"/>
      <x:c r="AF450" s="34"/>
      <x:c r="AG450" s="34"/>
      <x:c r="AH450" s="35" t="str">
        <x:f>IF(COUNTA(X450:AA450)&lt;4,"",ROUND((X450*20)*45%+(((Y450-1)/4*100)*30%+((Z450-1)/4*100)*25%+(1-(AA450-1)/4)*100*25%+(1-(MAX(1,AC450:AE450)-1)/4)*100*20%)*55%,0))</x:f>
      </x:c>
      <x:c r="AI450" s="35" t="str">
        <x:f>IF(AH450="","",IF(AH450&gt;=85,"Excelente",IF(AH450&gt;=70,"Adequado",IF(AH450&gt;=50,"Atenção","Crítico"))))</x:f>
      </x:c>
    </x:row>
    <x:row r="451">
      <x:c r="A451" s="33"/>
      <x:c r="B451" s="33"/>
      <x:c r="C451" s="33"/>
      <x:c r="D451" s="33"/>
      <x:c r="E451" s="36"/>
      <x:c r="F451" s="36"/>
      <x:c r="G451" s="33"/>
      <x:c r="H451" s="33"/>
      <x:c r="I451" s="33"/>
      <x:c r="J451" s="33"/>
      <x:c r="K451" s="33"/>
      <x:c r="L451" s="33"/>
      <x:c r="M451" s="33"/>
      <x:c r="N451" s="37"/>
      <x:c r="O451" s="33"/>
      <x:c r="P451" s="33"/>
      <x:c r="Q451" s="33"/>
      <x:c r="R451" s="37"/>
      <x:c r="S451" s="33"/>
      <x:c r="T451" s="33"/>
      <x:c r="U451" s="33"/>
      <x:c r="V451" s="38"/>
      <x:c r="W451" s="34"/>
      <x:c r="X451" s="34"/>
      <x:c r="Y451" s="34"/>
      <x:c r="Z451" s="34"/>
      <x:c r="AA451" s="34"/>
      <x:c r="AB451" s="34"/>
      <x:c r="AC451" s="34"/>
      <x:c r="AD451" s="34"/>
      <x:c r="AE451" s="34"/>
      <x:c r="AF451" s="34"/>
      <x:c r="AG451" s="34"/>
      <x:c r="AH451" s="35" t="str">
        <x:f>IF(COUNTA(X451:AA451)&lt;4,"",ROUND((X451*20)*45%+(((Y451-1)/4*100)*30%+((Z451-1)/4*100)*25%+(1-(AA451-1)/4)*100*25%+(1-(MAX(1,AC451:AE451)-1)/4)*100*20%)*55%,0))</x:f>
      </x:c>
      <x:c r="AI451" s="35" t="str">
        <x:f>IF(AH451="","",IF(AH451&gt;=85,"Excelente",IF(AH451&gt;=70,"Adequado",IF(AH451&gt;=50,"Atenção","Crítico"))))</x:f>
      </x:c>
    </x:row>
    <x:row r="452">
      <x:c r="A452" s="33"/>
      <x:c r="B452" s="33"/>
      <x:c r="C452" s="33"/>
      <x:c r="D452" s="33"/>
      <x:c r="E452" s="36"/>
      <x:c r="F452" s="36"/>
      <x:c r="G452" s="33"/>
      <x:c r="H452" s="33"/>
      <x:c r="I452" s="33"/>
      <x:c r="J452" s="33"/>
      <x:c r="K452" s="33"/>
      <x:c r="L452" s="33"/>
      <x:c r="M452" s="33"/>
      <x:c r="N452" s="37"/>
      <x:c r="O452" s="33"/>
      <x:c r="P452" s="33"/>
      <x:c r="Q452" s="33"/>
      <x:c r="R452" s="37"/>
      <x:c r="S452" s="33"/>
      <x:c r="T452" s="33"/>
      <x:c r="U452" s="33"/>
      <x:c r="V452" s="38"/>
      <x:c r="W452" s="34"/>
      <x:c r="X452" s="34"/>
      <x:c r="Y452" s="34"/>
      <x:c r="Z452" s="34"/>
      <x:c r="AA452" s="34"/>
      <x:c r="AB452" s="34"/>
      <x:c r="AC452" s="34"/>
      <x:c r="AD452" s="34"/>
      <x:c r="AE452" s="34"/>
      <x:c r="AF452" s="34"/>
      <x:c r="AG452" s="34"/>
      <x:c r="AH452" s="35" t="str">
        <x:f>IF(COUNTA(X452:AA452)&lt;4,"",ROUND((X452*20)*45%+(((Y452-1)/4*100)*30%+((Z452-1)/4*100)*25%+(1-(AA452-1)/4)*100*25%+(1-(MAX(1,AC452:AE452)-1)/4)*100*20%)*55%,0))</x:f>
      </x:c>
      <x:c r="AI452" s="35" t="str">
        <x:f>IF(AH452="","",IF(AH452&gt;=85,"Excelente",IF(AH452&gt;=70,"Adequado",IF(AH452&gt;=50,"Atenção","Crítico"))))</x:f>
      </x:c>
    </x:row>
    <x:row r="453">
      <x:c r="A453" s="33"/>
      <x:c r="B453" s="33"/>
      <x:c r="C453" s="33"/>
      <x:c r="D453" s="33"/>
      <x:c r="E453" s="36"/>
      <x:c r="F453" s="36"/>
      <x:c r="G453" s="33"/>
      <x:c r="H453" s="33"/>
      <x:c r="I453" s="33"/>
      <x:c r="J453" s="33"/>
      <x:c r="K453" s="33"/>
      <x:c r="L453" s="33"/>
      <x:c r="M453" s="33"/>
      <x:c r="N453" s="37"/>
      <x:c r="O453" s="33"/>
      <x:c r="P453" s="33"/>
      <x:c r="Q453" s="33"/>
      <x:c r="R453" s="37"/>
      <x:c r="S453" s="33"/>
      <x:c r="T453" s="33"/>
      <x:c r="U453" s="33"/>
      <x:c r="V453" s="38"/>
      <x:c r="W453" s="34"/>
      <x:c r="X453" s="34"/>
      <x:c r="Y453" s="34"/>
      <x:c r="Z453" s="34"/>
      <x:c r="AA453" s="34"/>
      <x:c r="AB453" s="34"/>
      <x:c r="AC453" s="34"/>
      <x:c r="AD453" s="34"/>
      <x:c r="AE453" s="34"/>
      <x:c r="AF453" s="34"/>
      <x:c r="AG453" s="34"/>
      <x:c r="AH453" s="35" t="str">
        <x:f>IF(COUNTA(X453:AA453)&lt;4,"",ROUND((X453*20)*45%+(((Y453-1)/4*100)*30%+((Z453-1)/4*100)*25%+(1-(AA453-1)/4)*100*25%+(1-(MAX(1,AC453:AE453)-1)/4)*100*20%)*55%,0))</x:f>
      </x:c>
      <x:c r="AI453" s="35" t="str">
        <x:f>IF(AH453="","",IF(AH453&gt;=85,"Excelente",IF(AH453&gt;=70,"Adequado",IF(AH453&gt;=50,"Atenção","Crítico"))))</x:f>
      </x:c>
    </x:row>
    <x:row r="454">
      <x:c r="A454" s="33"/>
      <x:c r="B454" s="33"/>
      <x:c r="C454" s="33"/>
      <x:c r="D454" s="33"/>
      <x:c r="E454" s="36"/>
      <x:c r="F454" s="36"/>
      <x:c r="G454" s="33"/>
      <x:c r="H454" s="33"/>
      <x:c r="I454" s="33"/>
      <x:c r="J454" s="33"/>
      <x:c r="K454" s="33"/>
      <x:c r="L454" s="33"/>
      <x:c r="M454" s="33"/>
      <x:c r="N454" s="37"/>
      <x:c r="O454" s="33"/>
      <x:c r="P454" s="33"/>
      <x:c r="Q454" s="33"/>
      <x:c r="R454" s="37"/>
      <x:c r="S454" s="33"/>
      <x:c r="T454" s="33"/>
      <x:c r="U454" s="33"/>
      <x:c r="V454" s="38"/>
      <x:c r="W454" s="34"/>
      <x:c r="X454" s="34"/>
      <x:c r="Y454" s="34"/>
      <x:c r="Z454" s="34"/>
      <x:c r="AA454" s="34"/>
      <x:c r="AB454" s="34"/>
      <x:c r="AC454" s="34"/>
      <x:c r="AD454" s="34"/>
      <x:c r="AE454" s="34"/>
      <x:c r="AF454" s="34"/>
      <x:c r="AG454" s="34"/>
      <x:c r="AH454" s="35" t="str">
        <x:f>IF(COUNTA(X454:AA454)&lt;4,"",ROUND((X454*20)*45%+(((Y454-1)/4*100)*30%+((Z454-1)/4*100)*25%+(1-(AA454-1)/4)*100*25%+(1-(MAX(1,AC454:AE454)-1)/4)*100*20%)*55%,0))</x:f>
      </x:c>
      <x:c r="AI454" s="35" t="str">
        <x:f>IF(AH454="","",IF(AH454&gt;=85,"Excelente",IF(AH454&gt;=70,"Adequado",IF(AH454&gt;=50,"Atenção","Crítico"))))</x:f>
      </x:c>
    </x:row>
    <x:row r="455">
      <x:c r="A455" s="33"/>
      <x:c r="B455" s="33"/>
      <x:c r="C455" s="33"/>
      <x:c r="D455" s="33"/>
      <x:c r="E455" s="36"/>
      <x:c r="F455" s="36"/>
      <x:c r="G455" s="33"/>
      <x:c r="H455" s="33"/>
      <x:c r="I455" s="33"/>
      <x:c r="J455" s="33"/>
      <x:c r="K455" s="33"/>
      <x:c r="L455" s="33"/>
      <x:c r="M455" s="33"/>
      <x:c r="N455" s="37"/>
      <x:c r="O455" s="33"/>
      <x:c r="P455" s="33"/>
      <x:c r="Q455" s="33"/>
      <x:c r="R455" s="37"/>
      <x:c r="S455" s="33"/>
      <x:c r="T455" s="33"/>
      <x:c r="U455" s="33"/>
      <x:c r="V455" s="38"/>
      <x:c r="W455" s="34"/>
      <x:c r="X455" s="34"/>
      <x:c r="Y455" s="34"/>
      <x:c r="Z455" s="34"/>
      <x:c r="AA455" s="34"/>
      <x:c r="AB455" s="34"/>
      <x:c r="AC455" s="34"/>
      <x:c r="AD455" s="34"/>
      <x:c r="AE455" s="34"/>
      <x:c r="AF455" s="34"/>
      <x:c r="AG455" s="34"/>
      <x:c r="AH455" s="35" t="str">
        <x:f>IF(COUNTA(X455:AA455)&lt;4,"",ROUND((X455*20)*45%+(((Y455-1)/4*100)*30%+((Z455-1)/4*100)*25%+(1-(AA455-1)/4)*100*25%+(1-(MAX(1,AC455:AE455)-1)/4)*100*20%)*55%,0))</x:f>
      </x:c>
      <x:c r="AI455" s="35" t="str">
        <x:f>IF(AH455="","",IF(AH455&gt;=85,"Excelente",IF(AH455&gt;=70,"Adequado",IF(AH455&gt;=50,"Atenção","Crítico"))))</x:f>
      </x:c>
    </x:row>
    <x:row r="456">
      <x:c r="A456" s="33"/>
      <x:c r="B456" s="33"/>
      <x:c r="C456" s="33"/>
      <x:c r="D456" s="33"/>
      <x:c r="E456" s="36"/>
      <x:c r="F456" s="36"/>
      <x:c r="G456" s="33"/>
      <x:c r="H456" s="33"/>
      <x:c r="I456" s="33"/>
      <x:c r="J456" s="33"/>
      <x:c r="K456" s="33"/>
      <x:c r="L456" s="33"/>
      <x:c r="M456" s="33"/>
      <x:c r="N456" s="37"/>
      <x:c r="O456" s="33"/>
      <x:c r="P456" s="33"/>
      <x:c r="Q456" s="33"/>
      <x:c r="R456" s="37"/>
      <x:c r="S456" s="33"/>
      <x:c r="T456" s="33"/>
      <x:c r="U456" s="33"/>
      <x:c r="V456" s="38"/>
      <x:c r="W456" s="34"/>
      <x:c r="X456" s="34"/>
      <x:c r="Y456" s="34"/>
      <x:c r="Z456" s="34"/>
      <x:c r="AA456" s="34"/>
      <x:c r="AB456" s="34"/>
      <x:c r="AC456" s="34"/>
      <x:c r="AD456" s="34"/>
      <x:c r="AE456" s="34"/>
      <x:c r="AF456" s="34"/>
      <x:c r="AG456" s="34"/>
      <x:c r="AH456" s="35" t="str">
        <x:f>IF(COUNTA(X456:AA456)&lt;4,"",ROUND((X456*20)*45%+(((Y456-1)/4*100)*30%+((Z456-1)/4*100)*25%+(1-(AA456-1)/4)*100*25%+(1-(MAX(1,AC456:AE456)-1)/4)*100*20%)*55%,0))</x:f>
      </x:c>
      <x:c r="AI456" s="35" t="str">
        <x:f>IF(AH456="","",IF(AH456&gt;=85,"Excelente",IF(AH456&gt;=70,"Adequado",IF(AH456&gt;=50,"Atenção","Crítico"))))</x:f>
      </x:c>
    </x:row>
    <x:row r="457">
      <x:c r="A457" s="33"/>
      <x:c r="B457" s="33"/>
      <x:c r="C457" s="33"/>
      <x:c r="D457" s="33"/>
      <x:c r="E457" s="36"/>
      <x:c r="F457" s="36"/>
      <x:c r="G457" s="33"/>
      <x:c r="H457" s="33"/>
      <x:c r="I457" s="33"/>
      <x:c r="J457" s="33"/>
      <x:c r="K457" s="33"/>
      <x:c r="L457" s="33"/>
      <x:c r="M457" s="33"/>
      <x:c r="N457" s="37"/>
      <x:c r="O457" s="33"/>
      <x:c r="P457" s="33"/>
      <x:c r="Q457" s="33"/>
      <x:c r="R457" s="37"/>
      <x:c r="S457" s="33"/>
      <x:c r="T457" s="33"/>
      <x:c r="U457" s="33"/>
      <x:c r="V457" s="38"/>
      <x:c r="W457" s="34"/>
      <x:c r="X457" s="34"/>
      <x:c r="Y457" s="34"/>
      <x:c r="Z457" s="34"/>
      <x:c r="AA457" s="34"/>
      <x:c r="AB457" s="34"/>
      <x:c r="AC457" s="34"/>
      <x:c r="AD457" s="34"/>
      <x:c r="AE457" s="34"/>
      <x:c r="AF457" s="34"/>
      <x:c r="AG457" s="34"/>
      <x:c r="AH457" s="35" t="str">
        <x:f>IF(COUNTA(X457:AA457)&lt;4,"",ROUND((X457*20)*45%+(((Y457-1)/4*100)*30%+((Z457-1)/4*100)*25%+(1-(AA457-1)/4)*100*25%+(1-(MAX(1,AC457:AE457)-1)/4)*100*20%)*55%,0))</x:f>
      </x:c>
      <x:c r="AI457" s="35" t="str">
        <x:f>IF(AH457="","",IF(AH457&gt;=85,"Excelente",IF(AH457&gt;=70,"Adequado",IF(AH457&gt;=50,"Atenção","Crítico"))))</x:f>
      </x:c>
    </x:row>
    <x:row r="458">
      <x:c r="A458" s="33"/>
      <x:c r="B458" s="33"/>
      <x:c r="C458" s="33"/>
      <x:c r="D458" s="33"/>
      <x:c r="E458" s="36"/>
      <x:c r="F458" s="36"/>
      <x:c r="G458" s="33"/>
      <x:c r="H458" s="33"/>
      <x:c r="I458" s="33"/>
      <x:c r="J458" s="33"/>
      <x:c r="K458" s="33"/>
      <x:c r="L458" s="33"/>
      <x:c r="M458" s="33"/>
      <x:c r="N458" s="37"/>
      <x:c r="O458" s="33"/>
      <x:c r="P458" s="33"/>
      <x:c r="Q458" s="33"/>
      <x:c r="R458" s="37"/>
      <x:c r="S458" s="33"/>
      <x:c r="T458" s="33"/>
      <x:c r="U458" s="33"/>
      <x:c r="V458" s="38"/>
      <x:c r="W458" s="34"/>
      <x:c r="X458" s="34"/>
      <x:c r="Y458" s="34"/>
      <x:c r="Z458" s="34"/>
      <x:c r="AA458" s="34"/>
      <x:c r="AB458" s="34"/>
      <x:c r="AC458" s="34"/>
      <x:c r="AD458" s="34"/>
      <x:c r="AE458" s="34"/>
      <x:c r="AF458" s="34"/>
      <x:c r="AG458" s="34"/>
      <x:c r="AH458" s="35" t="str">
        <x:f>IF(COUNTA(X458:AA458)&lt;4,"",ROUND((X458*20)*45%+(((Y458-1)/4*100)*30%+((Z458-1)/4*100)*25%+(1-(AA458-1)/4)*100*25%+(1-(MAX(1,AC458:AE458)-1)/4)*100*20%)*55%,0))</x:f>
      </x:c>
      <x:c r="AI458" s="35" t="str">
        <x:f>IF(AH458="","",IF(AH458&gt;=85,"Excelente",IF(AH458&gt;=70,"Adequado",IF(AH458&gt;=50,"Atenção","Crítico"))))</x:f>
      </x:c>
    </x:row>
    <x:row r="459">
      <x:c r="A459" s="33"/>
      <x:c r="B459" s="33"/>
      <x:c r="C459" s="33"/>
      <x:c r="D459" s="33"/>
      <x:c r="E459" s="36"/>
      <x:c r="F459" s="36"/>
      <x:c r="G459" s="33"/>
      <x:c r="H459" s="33"/>
      <x:c r="I459" s="33"/>
      <x:c r="J459" s="33"/>
      <x:c r="K459" s="33"/>
      <x:c r="L459" s="33"/>
      <x:c r="M459" s="33"/>
      <x:c r="N459" s="37"/>
      <x:c r="O459" s="33"/>
      <x:c r="P459" s="33"/>
      <x:c r="Q459" s="33"/>
      <x:c r="R459" s="37"/>
      <x:c r="S459" s="33"/>
      <x:c r="T459" s="33"/>
      <x:c r="U459" s="33"/>
      <x:c r="V459" s="38"/>
      <x:c r="W459" s="34"/>
      <x:c r="X459" s="34"/>
      <x:c r="Y459" s="34"/>
      <x:c r="Z459" s="34"/>
      <x:c r="AA459" s="34"/>
      <x:c r="AB459" s="34"/>
      <x:c r="AC459" s="34"/>
      <x:c r="AD459" s="34"/>
      <x:c r="AE459" s="34"/>
      <x:c r="AF459" s="34"/>
      <x:c r="AG459" s="34"/>
      <x:c r="AH459" s="35" t="str">
        <x:f>IF(COUNTA(X459:AA459)&lt;4,"",ROUND((X459*20)*45%+(((Y459-1)/4*100)*30%+((Z459-1)/4*100)*25%+(1-(AA459-1)/4)*100*25%+(1-(MAX(1,AC459:AE459)-1)/4)*100*20%)*55%,0))</x:f>
      </x:c>
      <x:c r="AI459" s="35" t="str">
        <x:f>IF(AH459="","",IF(AH459&gt;=85,"Excelente",IF(AH459&gt;=70,"Adequado",IF(AH459&gt;=50,"Atenção","Crítico"))))</x:f>
      </x:c>
    </x:row>
    <x:row r="460">
      <x:c r="A460" s="33"/>
      <x:c r="B460" s="33"/>
      <x:c r="C460" s="33"/>
      <x:c r="D460" s="33"/>
      <x:c r="E460" s="36"/>
      <x:c r="F460" s="36"/>
      <x:c r="G460" s="33"/>
      <x:c r="H460" s="33"/>
      <x:c r="I460" s="33"/>
      <x:c r="J460" s="33"/>
      <x:c r="K460" s="33"/>
      <x:c r="L460" s="33"/>
      <x:c r="M460" s="33"/>
      <x:c r="N460" s="37"/>
      <x:c r="O460" s="33"/>
      <x:c r="P460" s="33"/>
      <x:c r="Q460" s="33"/>
      <x:c r="R460" s="37"/>
      <x:c r="S460" s="33"/>
      <x:c r="T460" s="33"/>
      <x:c r="U460" s="33"/>
      <x:c r="V460" s="38"/>
      <x:c r="W460" s="34"/>
      <x:c r="X460" s="34"/>
      <x:c r="Y460" s="34"/>
      <x:c r="Z460" s="34"/>
      <x:c r="AA460" s="34"/>
      <x:c r="AB460" s="34"/>
      <x:c r="AC460" s="34"/>
      <x:c r="AD460" s="34"/>
      <x:c r="AE460" s="34"/>
      <x:c r="AF460" s="34"/>
      <x:c r="AG460" s="34"/>
      <x:c r="AH460" s="35" t="str">
        <x:f>IF(COUNTA(X460:AA460)&lt;4,"",ROUND((X460*20)*45%+(((Y460-1)/4*100)*30%+((Z460-1)/4*100)*25%+(1-(AA460-1)/4)*100*25%+(1-(MAX(1,AC460:AE460)-1)/4)*100*20%)*55%,0))</x:f>
      </x:c>
      <x:c r="AI460" s="35" t="str">
        <x:f>IF(AH460="","",IF(AH460&gt;=85,"Excelente",IF(AH460&gt;=70,"Adequado",IF(AH460&gt;=50,"Atenção","Crítico"))))</x:f>
      </x:c>
    </x:row>
    <x:row r="461">
      <x:c r="A461" s="33"/>
      <x:c r="B461" s="33"/>
      <x:c r="C461" s="33"/>
      <x:c r="D461" s="33"/>
      <x:c r="E461" s="36"/>
      <x:c r="F461" s="36"/>
      <x:c r="G461" s="33"/>
      <x:c r="H461" s="33"/>
      <x:c r="I461" s="33"/>
      <x:c r="J461" s="33"/>
      <x:c r="K461" s="33"/>
      <x:c r="L461" s="33"/>
      <x:c r="M461" s="33"/>
      <x:c r="N461" s="37"/>
      <x:c r="O461" s="33"/>
      <x:c r="P461" s="33"/>
      <x:c r="Q461" s="33"/>
      <x:c r="R461" s="37"/>
      <x:c r="S461" s="33"/>
      <x:c r="T461" s="33"/>
      <x:c r="U461" s="33"/>
      <x:c r="V461" s="38"/>
      <x:c r="W461" s="34"/>
      <x:c r="X461" s="34"/>
      <x:c r="Y461" s="34"/>
      <x:c r="Z461" s="34"/>
      <x:c r="AA461" s="34"/>
      <x:c r="AB461" s="34"/>
      <x:c r="AC461" s="34"/>
      <x:c r="AD461" s="34"/>
      <x:c r="AE461" s="34"/>
      <x:c r="AF461" s="34"/>
      <x:c r="AG461" s="34"/>
      <x:c r="AH461" s="35" t="str">
        <x:f>IF(COUNTA(X461:AA461)&lt;4,"",ROUND((X461*20)*45%+(((Y461-1)/4*100)*30%+((Z461-1)/4*100)*25%+(1-(AA461-1)/4)*100*25%+(1-(MAX(1,AC461:AE461)-1)/4)*100*20%)*55%,0))</x:f>
      </x:c>
      <x:c r="AI461" s="35" t="str">
        <x:f>IF(AH461="","",IF(AH461&gt;=85,"Excelente",IF(AH461&gt;=70,"Adequado",IF(AH461&gt;=50,"Atenção","Crítico"))))</x:f>
      </x:c>
    </x:row>
    <x:row r="462">
      <x:c r="A462" s="33"/>
      <x:c r="B462" s="33"/>
      <x:c r="C462" s="33"/>
      <x:c r="D462" s="33"/>
      <x:c r="E462" s="36"/>
      <x:c r="F462" s="36"/>
      <x:c r="G462" s="33"/>
      <x:c r="H462" s="33"/>
      <x:c r="I462" s="33"/>
      <x:c r="J462" s="33"/>
      <x:c r="K462" s="33"/>
      <x:c r="L462" s="33"/>
      <x:c r="M462" s="33"/>
      <x:c r="N462" s="37"/>
      <x:c r="O462" s="33"/>
      <x:c r="P462" s="33"/>
      <x:c r="Q462" s="33"/>
      <x:c r="R462" s="37"/>
      <x:c r="S462" s="33"/>
      <x:c r="T462" s="33"/>
      <x:c r="U462" s="33"/>
      <x:c r="V462" s="38"/>
      <x:c r="W462" s="34"/>
      <x:c r="X462" s="34"/>
      <x:c r="Y462" s="34"/>
      <x:c r="Z462" s="34"/>
      <x:c r="AA462" s="34"/>
      <x:c r="AB462" s="34"/>
      <x:c r="AC462" s="34"/>
      <x:c r="AD462" s="34"/>
      <x:c r="AE462" s="34"/>
      <x:c r="AF462" s="34"/>
      <x:c r="AG462" s="34"/>
      <x:c r="AH462" s="35" t="str">
        <x:f>IF(COUNTA(X462:AA462)&lt;4,"",ROUND((X462*20)*45%+(((Y462-1)/4*100)*30%+((Z462-1)/4*100)*25%+(1-(AA462-1)/4)*100*25%+(1-(MAX(1,AC462:AE462)-1)/4)*100*20%)*55%,0))</x:f>
      </x:c>
      <x:c r="AI462" s="35" t="str">
        <x:f>IF(AH462="","",IF(AH462&gt;=85,"Excelente",IF(AH462&gt;=70,"Adequado",IF(AH462&gt;=50,"Atenção","Crítico"))))</x:f>
      </x:c>
    </x:row>
    <x:row r="463">
      <x:c r="A463" s="33"/>
      <x:c r="B463" s="33"/>
      <x:c r="C463" s="33"/>
      <x:c r="D463" s="33"/>
      <x:c r="E463" s="36"/>
      <x:c r="F463" s="36"/>
      <x:c r="G463" s="33"/>
      <x:c r="H463" s="33"/>
      <x:c r="I463" s="33"/>
      <x:c r="J463" s="33"/>
      <x:c r="K463" s="33"/>
      <x:c r="L463" s="33"/>
      <x:c r="M463" s="33"/>
      <x:c r="N463" s="37"/>
      <x:c r="O463" s="33"/>
      <x:c r="P463" s="33"/>
      <x:c r="Q463" s="33"/>
      <x:c r="R463" s="37"/>
      <x:c r="S463" s="33"/>
      <x:c r="T463" s="33"/>
      <x:c r="U463" s="33"/>
      <x:c r="V463" s="38"/>
      <x:c r="W463" s="34"/>
      <x:c r="X463" s="34"/>
      <x:c r="Y463" s="34"/>
      <x:c r="Z463" s="34"/>
      <x:c r="AA463" s="34"/>
      <x:c r="AB463" s="34"/>
      <x:c r="AC463" s="34"/>
      <x:c r="AD463" s="34"/>
      <x:c r="AE463" s="34"/>
      <x:c r="AF463" s="34"/>
      <x:c r="AG463" s="34"/>
      <x:c r="AH463" s="35" t="str">
        <x:f>IF(COUNTA(X463:AA463)&lt;4,"",ROUND((X463*20)*45%+(((Y463-1)/4*100)*30%+((Z463-1)/4*100)*25%+(1-(AA463-1)/4)*100*25%+(1-(MAX(1,AC463:AE463)-1)/4)*100*20%)*55%,0))</x:f>
      </x:c>
      <x:c r="AI463" s="35" t="str">
        <x:f>IF(AH463="","",IF(AH463&gt;=85,"Excelente",IF(AH463&gt;=70,"Adequado",IF(AH463&gt;=50,"Atenção","Crítico"))))</x:f>
      </x:c>
    </x:row>
    <x:row r="464">
      <x:c r="A464" s="33"/>
      <x:c r="B464" s="33"/>
      <x:c r="C464" s="33"/>
      <x:c r="D464" s="33"/>
      <x:c r="E464" s="36"/>
      <x:c r="F464" s="36"/>
      <x:c r="G464" s="33"/>
      <x:c r="H464" s="33"/>
      <x:c r="I464" s="33"/>
      <x:c r="J464" s="33"/>
      <x:c r="K464" s="33"/>
      <x:c r="L464" s="33"/>
      <x:c r="M464" s="33"/>
      <x:c r="N464" s="37"/>
      <x:c r="O464" s="33"/>
      <x:c r="P464" s="33"/>
      <x:c r="Q464" s="33"/>
      <x:c r="R464" s="37"/>
      <x:c r="S464" s="33"/>
      <x:c r="T464" s="33"/>
      <x:c r="U464" s="33"/>
      <x:c r="V464" s="38"/>
      <x:c r="W464" s="34"/>
      <x:c r="X464" s="34"/>
      <x:c r="Y464" s="34"/>
      <x:c r="Z464" s="34"/>
      <x:c r="AA464" s="34"/>
      <x:c r="AB464" s="34"/>
      <x:c r="AC464" s="34"/>
      <x:c r="AD464" s="34"/>
      <x:c r="AE464" s="34"/>
      <x:c r="AF464" s="34"/>
      <x:c r="AG464" s="34"/>
      <x:c r="AH464" s="35" t="str">
        <x:f>IF(COUNTA(X464:AA464)&lt;4,"",ROUND((X464*20)*45%+(((Y464-1)/4*100)*30%+((Z464-1)/4*100)*25%+(1-(AA464-1)/4)*100*25%+(1-(MAX(1,AC464:AE464)-1)/4)*100*20%)*55%,0))</x:f>
      </x:c>
      <x:c r="AI464" s="35" t="str">
        <x:f>IF(AH464="","",IF(AH464&gt;=85,"Excelente",IF(AH464&gt;=70,"Adequado",IF(AH464&gt;=50,"Atenção","Crítico"))))</x:f>
      </x:c>
    </x:row>
    <x:row r="465">
      <x:c r="A465" s="33"/>
      <x:c r="B465" s="33"/>
      <x:c r="C465" s="33"/>
      <x:c r="D465" s="33"/>
      <x:c r="E465" s="36"/>
      <x:c r="F465" s="36"/>
      <x:c r="G465" s="33"/>
      <x:c r="H465" s="33"/>
      <x:c r="I465" s="33"/>
      <x:c r="J465" s="33"/>
      <x:c r="K465" s="33"/>
      <x:c r="L465" s="33"/>
      <x:c r="M465" s="33"/>
      <x:c r="N465" s="37"/>
      <x:c r="O465" s="33"/>
      <x:c r="P465" s="33"/>
      <x:c r="Q465" s="33"/>
      <x:c r="R465" s="37"/>
      <x:c r="S465" s="33"/>
      <x:c r="T465" s="33"/>
      <x:c r="U465" s="33"/>
      <x:c r="V465" s="38"/>
      <x:c r="W465" s="34"/>
      <x:c r="X465" s="34"/>
      <x:c r="Y465" s="34"/>
      <x:c r="Z465" s="34"/>
      <x:c r="AA465" s="34"/>
      <x:c r="AB465" s="34"/>
      <x:c r="AC465" s="34"/>
      <x:c r="AD465" s="34"/>
      <x:c r="AE465" s="34"/>
      <x:c r="AF465" s="34"/>
      <x:c r="AG465" s="34"/>
      <x:c r="AH465" s="35" t="str">
        <x:f>IF(COUNTA(X465:AA465)&lt;4,"",ROUND((X465*20)*45%+(((Y465-1)/4*100)*30%+((Z465-1)/4*100)*25%+(1-(AA465-1)/4)*100*25%+(1-(MAX(1,AC465:AE465)-1)/4)*100*20%)*55%,0))</x:f>
      </x:c>
      <x:c r="AI465" s="35" t="str">
        <x:f>IF(AH465="","",IF(AH465&gt;=85,"Excelente",IF(AH465&gt;=70,"Adequado",IF(AH465&gt;=50,"Atenção","Crítico"))))</x:f>
      </x:c>
    </x:row>
    <x:row r="466">
      <x:c r="A466" s="33"/>
      <x:c r="B466" s="33"/>
      <x:c r="C466" s="33"/>
      <x:c r="D466" s="33"/>
      <x:c r="E466" s="36"/>
      <x:c r="F466" s="36"/>
      <x:c r="G466" s="33"/>
      <x:c r="H466" s="33"/>
      <x:c r="I466" s="33"/>
      <x:c r="J466" s="33"/>
      <x:c r="K466" s="33"/>
      <x:c r="L466" s="33"/>
      <x:c r="M466" s="33"/>
      <x:c r="N466" s="37"/>
      <x:c r="O466" s="33"/>
      <x:c r="P466" s="33"/>
      <x:c r="Q466" s="33"/>
      <x:c r="R466" s="37"/>
      <x:c r="S466" s="33"/>
      <x:c r="T466" s="33"/>
      <x:c r="U466" s="33"/>
      <x:c r="V466" s="38"/>
      <x:c r="W466" s="34"/>
      <x:c r="X466" s="34"/>
      <x:c r="Y466" s="34"/>
      <x:c r="Z466" s="34"/>
      <x:c r="AA466" s="34"/>
      <x:c r="AB466" s="34"/>
      <x:c r="AC466" s="34"/>
      <x:c r="AD466" s="34"/>
      <x:c r="AE466" s="34"/>
      <x:c r="AF466" s="34"/>
      <x:c r="AG466" s="34"/>
      <x:c r="AH466" s="35" t="str">
        <x:f>IF(COUNTA(X466:AA466)&lt;4,"",ROUND((X466*20)*45%+(((Y466-1)/4*100)*30%+((Z466-1)/4*100)*25%+(1-(AA466-1)/4)*100*25%+(1-(MAX(1,AC466:AE466)-1)/4)*100*20%)*55%,0))</x:f>
      </x:c>
      <x:c r="AI466" s="35" t="str">
        <x:f>IF(AH466="","",IF(AH466&gt;=85,"Excelente",IF(AH466&gt;=70,"Adequado",IF(AH466&gt;=50,"Atenção","Crítico"))))</x:f>
      </x:c>
    </x:row>
    <x:row r="467">
      <x:c r="A467" s="33"/>
      <x:c r="B467" s="33"/>
      <x:c r="C467" s="33"/>
      <x:c r="D467" s="33"/>
      <x:c r="E467" s="36"/>
      <x:c r="F467" s="36"/>
      <x:c r="G467" s="33"/>
      <x:c r="H467" s="33"/>
      <x:c r="I467" s="33"/>
      <x:c r="J467" s="33"/>
      <x:c r="K467" s="33"/>
      <x:c r="L467" s="33"/>
      <x:c r="M467" s="33"/>
      <x:c r="N467" s="37"/>
      <x:c r="O467" s="33"/>
      <x:c r="P467" s="33"/>
      <x:c r="Q467" s="33"/>
      <x:c r="R467" s="37"/>
      <x:c r="S467" s="33"/>
      <x:c r="T467" s="33"/>
      <x:c r="U467" s="33"/>
      <x:c r="V467" s="38"/>
      <x:c r="W467" s="34"/>
      <x:c r="X467" s="34"/>
      <x:c r="Y467" s="34"/>
      <x:c r="Z467" s="34"/>
      <x:c r="AA467" s="34"/>
      <x:c r="AB467" s="34"/>
      <x:c r="AC467" s="34"/>
      <x:c r="AD467" s="34"/>
      <x:c r="AE467" s="34"/>
      <x:c r="AF467" s="34"/>
      <x:c r="AG467" s="34"/>
      <x:c r="AH467" s="35" t="str">
        <x:f>IF(COUNTA(X467:AA467)&lt;4,"",ROUND((X467*20)*45%+(((Y467-1)/4*100)*30%+((Z467-1)/4*100)*25%+(1-(AA467-1)/4)*100*25%+(1-(MAX(1,AC467:AE467)-1)/4)*100*20%)*55%,0))</x:f>
      </x:c>
      <x:c r="AI467" s="35" t="str">
        <x:f>IF(AH467="","",IF(AH467&gt;=85,"Excelente",IF(AH467&gt;=70,"Adequado",IF(AH467&gt;=50,"Atenção","Crítico"))))</x:f>
      </x:c>
    </x:row>
    <x:row r="468">
      <x:c r="A468" s="33"/>
      <x:c r="B468" s="33"/>
      <x:c r="C468" s="33"/>
      <x:c r="D468" s="33"/>
      <x:c r="E468" s="36"/>
      <x:c r="F468" s="36"/>
      <x:c r="G468" s="33"/>
      <x:c r="H468" s="33"/>
      <x:c r="I468" s="33"/>
      <x:c r="J468" s="33"/>
      <x:c r="K468" s="33"/>
      <x:c r="L468" s="33"/>
      <x:c r="M468" s="33"/>
      <x:c r="N468" s="37"/>
      <x:c r="O468" s="33"/>
      <x:c r="P468" s="33"/>
      <x:c r="Q468" s="33"/>
      <x:c r="R468" s="37"/>
      <x:c r="S468" s="33"/>
      <x:c r="T468" s="33"/>
      <x:c r="U468" s="33"/>
      <x:c r="V468" s="38"/>
      <x:c r="W468" s="34"/>
      <x:c r="X468" s="34"/>
      <x:c r="Y468" s="34"/>
      <x:c r="Z468" s="34"/>
      <x:c r="AA468" s="34"/>
      <x:c r="AB468" s="34"/>
      <x:c r="AC468" s="34"/>
      <x:c r="AD468" s="34"/>
      <x:c r="AE468" s="34"/>
      <x:c r="AF468" s="34"/>
      <x:c r="AG468" s="34"/>
      <x:c r="AH468" s="35" t="str">
        <x:f>IF(COUNTA(X468:AA468)&lt;4,"",ROUND((X468*20)*45%+(((Y468-1)/4*100)*30%+((Z468-1)/4*100)*25%+(1-(AA468-1)/4)*100*25%+(1-(MAX(1,AC468:AE468)-1)/4)*100*20%)*55%,0))</x:f>
      </x:c>
      <x:c r="AI468" s="35" t="str">
        <x:f>IF(AH468="","",IF(AH468&gt;=85,"Excelente",IF(AH468&gt;=70,"Adequado",IF(AH468&gt;=50,"Atenção","Crítico"))))</x:f>
      </x:c>
    </x:row>
    <x:row r="469">
      <x:c r="A469" s="33"/>
      <x:c r="B469" s="33"/>
      <x:c r="C469" s="33"/>
      <x:c r="D469" s="33"/>
      <x:c r="E469" s="36"/>
      <x:c r="F469" s="36"/>
      <x:c r="G469" s="33"/>
      <x:c r="H469" s="33"/>
      <x:c r="I469" s="33"/>
      <x:c r="J469" s="33"/>
      <x:c r="K469" s="33"/>
      <x:c r="L469" s="33"/>
      <x:c r="M469" s="33"/>
      <x:c r="N469" s="37"/>
      <x:c r="O469" s="33"/>
      <x:c r="P469" s="33"/>
      <x:c r="Q469" s="33"/>
      <x:c r="R469" s="37"/>
      <x:c r="S469" s="33"/>
      <x:c r="T469" s="33"/>
      <x:c r="U469" s="33"/>
      <x:c r="V469" s="38"/>
      <x:c r="W469" s="34"/>
      <x:c r="X469" s="34"/>
      <x:c r="Y469" s="34"/>
      <x:c r="Z469" s="34"/>
      <x:c r="AA469" s="34"/>
      <x:c r="AB469" s="34"/>
      <x:c r="AC469" s="34"/>
      <x:c r="AD469" s="34"/>
      <x:c r="AE469" s="34"/>
      <x:c r="AF469" s="34"/>
      <x:c r="AG469" s="34"/>
      <x:c r="AH469" s="35" t="str">
        <x:f>IF(COUNTA(X469:AA469)&lt;4,"",ROUND((X469*20)*45%+(((Y469-1)/4*100)*30%+((Z469-1)/4*100)*25%+(1-(AA469-1)/4)*100*25%+(1-(MAX(1,AC469:AE469)-1)/4)*100*20%)*55%,0))</x:f>
      </x:c>
      <x:c r="AI469" s="35" t="str">
        <x:f>IF(AH469="","",IF(AH469&gt;=85,"Excelente",IF(AH469&gt;=70,"Adequado",IF(AH469&gt;=50,"Atenção","Crítico"))))</x:f>
      </x:c>
    </x:row>
    <x:row r="470">
      <x:c r="A470" s="33"/>
      <x:c r="B470" s="33"/>
      <x:c r="C470" s="33"/>
      <x:c r="D470" s="33"/>
      <x:c r="E470" s="36"/>
      <x:c r="F470" s="36"/>
      <x:c r="G470" s="33"/>
      <x:c r="H470" s="33"/>
      <x:c r="I470" s="33"/>
      <x:c r="J470" s="33"/>
      <x:c r="K470" s="33"/>
      <x:c r="L470" s="33"/>
      <x:c r="M470" s="33"/>
      <x:c r="N470" s="37"/>
      <x:c r="O470" s="33"/>
      <x:c r="P470" s="33"/>
      <x:c r="Q470" s="33"/>
      <x:c r="R470" s="37"/>
      <x:c r="S470" s="33"/>
      <x:c r="T470" s="33"/>
      <x:c r="U470" s="33"/>
      <x:c r="V470" s="38"/>
      <x:c r="W470" s="34"/>
      <x:c r="X470" s="34"/>
      <x:c r="Y470" s="34"/>
      <x:c r="Z470" s="34"/>
      <x:c r="AA470" s="34"/>
      <x:c r="AB470" s="34"/>
      <x:c r="AC470" s="34"/>
      <x:c r="AD470" s="34"/>
      <x:c r="AE470" s="34"/>
      <x:c r="AF470" s="34"/>
      <x:c r="AG470" s="34"/>
      <x:c r="AH470" s="35" t="str">
        <x:f>IF(COUNTA(X470:AA470)&lt;4,"",ROUND((X470*20)*45%+(((Y470-1)/4*100)*30%+((Z470-1)/4*100)*25%+(1-(AA470-1)/4)*100*25%+(1-(MAX(1,AC470:AE470)-1)/4)*100*20%)*55%,0))</x:f>
      </x:c>
      <x:c r="AI470" s="35" t="str">
        <x:f>IF(AH470="","",IF(AH470&gt;=85,"Excelente",IF(AH470&gt;=70,"Adequado",IF(AH470&gt;=50,"Atenção","Crítico"))))</x:f>
      </x:c>
    </x:row>
    <x:row r="471">
      <x:c r="A471" s="33"/>
      <x:c r="B471" s="33"/>
      <x:c r="C471" s="33"/>
      <x:c r="D471" s="33"/>
      <x:c r="E471" s="36"/>
      <x:c r="F471" s="36"/>
      <x:c r="G471" s="33"/>
      <x:c r="H471" s="33"/>
      <x:c r="I471" s="33"/>
      <x:c r="J471" s="33"/>
      <x:c r="K471" s="33"/>
      <x:c r="L471" s="33"/>
      <x:c r="M471" s="33"/>
      <x:c r="N471" s="37"/>
      <x:c r="O471" s="33"/>
      <x:c r="P471" s="33"/>
      <x:c r="Q471" s="33"/>
      <x:c r="R471" s="37"/>
      <x:c r="S471" s="33"/>
      <x:c r="T471" s="33"/>
      <x:c r="U471" s="33"/>
      <x:c r="V471" s="38"/>
      <x:c r="W471" s="34"/>
      <x:c r="X471" s="34"/>
      <x:c r="Y471" s="34"/>
      <x:c r="Z471" s="34"/>
      <x:c r="AA471" s="34"/>
      <x:c r="AB471" s="34"/>
      <x:c r="AC471" s="34"/>
      <x:c r="AD471" s="34"/>
      <x:c r="AE471" s="34"/>
      <x:c r="AF471" s="34"/>
      <x:c r="AG471" s="34"/>
      <x:c r="AH471" s="35" t="str">
        <x:f>IF(COUNTA(X471:AA471)&lt;4,"",ROUND((X471*20)*45%+(((Y471-1)/4*100)*30%+((Z471-1)/4*100)*25%+(1-(AA471-1)/4)*100*25%+(1-(MAX(1,AC471:AE471)-1)/4)*100*20%)*55%,0))</x:f>
      </x:c>
      <x:c r="AI471" s="35" t="str">
        <x:f>IF(AH471="","",IF(AH471&gt;=85,"Excelente",IF(AH471&gt;=70,"Adequado",IF(AH471&gt;=50,"Atenção","Crítico"))))</x:f>
      </x:c>
    </x:row>
    <x:row r="472">
      <x:c r="A472" s="33"/>
      <x:c r="B472" s="33"/>
      <x:c r="C472" s="33"/>
      <x:c r="D472" s="33"/>
      <x:c r="E472" s="36"/>
      <x:c r="F472" s="36"/>
      <x:c r="G472" s="33"/>
      <x:c r="H472" s="33"/>
      <x:c r="I472" s="33"/>
      <x:c r="J472" s="33"/>
      <x:c r="K472" s="33"/>
      <x:c r="L472" s="33"/>
      <x:c r="M472" s="33"/>
      <x:c r="N472" s="37"/>
      <x:c r="O472" s="33"/>
      <x:c r="P472" s="33"/>
      <x:c r="Q472" s="33"/>
      <x:c r="R472" s="37"/>
      <x:c r="S472" s="33"/>
      <x:c r="T472" s="33"/>
      <x:c r="U472" s="33"/>
      <x:c r="V472" s="38"/>
      <x:c r="W472" s="34"/>
      <x:c r="X472" s="34"/>
      <x:c r="Y472" s="34"/>
      <x:c r="Z472" s="34"/>
      <x:c r="AA472" s="34"/>
      <x:c r="AB472" s="34"/>
      <x:c r="AC472" s="34"/>
      <x:c r="AD472" s="34"/>
      <x:c r="AE472" s="34"/>
      <x:c r="AF472" s="34"/>
      <x:c r="AG472" s="34"/>
      <x:c r="AH472" s="35" t="str">
        <x:f>IF(COUNTA(X472:AA472)&lt;4,"",ROUND((X472*20)*45%+(((Y472-1)/4*100)*30%+((Z472-1)/4*100)*25%+(1-(AA472-1)/4)*100*25%+(1-(MAX(1,AC472:AE472)-1)/4)*100*20%)*55%,0))</x:f>
      </x:c>
      <x:c r="AI472" s="35" t="str">
        <x:f>IF(AH472="","",IF(AH472&gt;=85,"Excelente",IF(AH472&gt;=70,"Adequado",IF(AH472&gt;=50,"Atenção","Crítico"))))</x:f>
      </x:c>
    </x:row>
    <x:row r="473">
      <x:c r="A473" s="33"/>
      <x:c r="B473" s="33"/>
      <x:c r="C473" s="33"/>
      <x:c r="D473" s="33"/>
      <x:c r="E473" s="36"/>
      <x:c r="F473" s="36"/>
      <x:c r="G473" s="33"/>
      <x:c r="H473" s="33"/>
      <x:c r="I473" s="33"/>
      <x:c r="J473" s="33"/>
      <x:c r="K473" s="33"/>
      <x:c r="L473" s="33"/>
      <x:c r="M473" s="33"/>
      <x:c r="N473" s="37"/>
      <x:c r="O473" s="33"/>
      <x:c r="P473" s="33"/>
      <x:c r="Q473" s="33"/>
      <x:c r="R473" s="37"/>
      <x:c r="S473" s="33"/>
      <x:c r="T473" s="33"/>
      <x:c r="U473" s="33"/>
      <x:c r="V473" s="38"/>
      <x:c r="W473" s="34"/>
      <x:c r="X473" s="34"/>
      <x:c r="Y473" s="34"/>
      <x:c r="Z473" s="34"/>
      <x:c r="AA473" s="34"/>
      <x:c r="AB473" s="34"/>
      <x:c r="AC473" s="34"/>
      <x:c r="AD473" s="34"/>
      <x:c r="AE473" s="34"/>
      <x:c r="AF473" s="34"/>
      <x:c r="AG473" s="34"/>
      <x:c r="AH473" s="35" t="str">
        <x:f>IF(COUNTA(X473:AA473)&lt;4,"",ROUND((X473*20)*45%+(((Y473-1)/4*100)*30%+((Z473-1)/4*100)*25%+(1-(AA473-1)/4)*100*25%+(1-(MAX(1,AC473:AE473)-1)/4)*100*20%)*55%,0))</x:f>
      </x:c>
      <x:c r="AI473" s="35" t="str">
        <x:f>IF(AH473="","",IF(AH473&gt;=85,"Excelente",IF(AH473&gt;=70,"Adequado",IF(AH473&gt;=50,"Atenção","Crítico"))))</x:f>
      </x:c>
    </x:row>
    <x:row r="474">
      <x:c r="A474" s="33"/>
      <x:c r="B474" s="33"/>
      <x:c r="C474" s="33"/>
      <x:c r="D474" s="33"/>
      <x:c r="E474" s="36"/>
      <x:c r="F474" s="36"/>
      <x:c r="G474" s="33"/>
      <x:c r="H474" s="33"/>
      <x:c r="I474" s="33"/>
      <x:c r="J474" s="33"/>
      <x:c r="K474" s="33"/>
      <x:c r="L474" s="33"/>
      <x:c r="M474" s="33"/>
      <x:c r="N474" s="37"/>
      <x:c r="O474" s="33"/>
      <x:c r="P474" s="33"/>
      <x:c r="Q474" s="33"/>
      <x:c r="R474" s="37"/>
      <x:c r="S474" s="33"/>
      <x:c r="T474" s="33"/>
      <x:c r="U474" s="33"/>
      <x:c r="V474" s="38"/>
      <x:c r="W474" s="34"/>
      <x:c r="X474" s="34"/>
      <x:c r="Y474" s="34"/>
      <x:c r="Z474" s="34"/>
      <x:c r="AA474" s="34"/>
      <x:c r="AB474" s="34"/>
      <x:c r="AC474" s="34"/>
      <x:c r="AD474" s="34"/>
      <x:c r="AE474" s="34"/>
      <x:c r="AF474" s="34"/>
      <x:c r="AG474" s="34"/>
      <x:c r="AH474" s="35" t="str">
        <x:f>IF(COUNTA(X474:AA474)&lt;4,"",ROUND((X474*20)*45%+(((Y474-1)/4*100)*30%+((Z474-1)/4*100)*25%+(1-(AA474-1)/4)*100*25%+(1-(MAX(1,AC474:AE474)-1)/4)*100*20%)*55%,0))</x:f>
      </x:c>
      <x:c r="AI474" s="35" t="str">
        <x:f>IF(AH474="","",IF(AH474&gt;=85,"Excelente",IF(AH474&gt;=70,"Adequado",IF(AH474&gt;=50,"Atenção","Crítico"))))</x:f>
      </x:c>
    </x:row>
    <x:row r="475">
      <x:c r="A475" s="33"/>
      <x:c r="B475" s="33"/>
      <x:c r="C475" s="33"/>
      <x:c r="D475" s="33"/>
      <x:c r="E475" s="36"/>
      <x:c r="F475" s="36"/>
      <x:c r="G475" s="33"/>
      <x:c r="H475" s="33"/>
      <x:c r="I475" s="33"/>
      <x:c r="J475" s="33"/>
      <x:c r="K475" s="33"/>
      <x:c r="L475" s="33"/>
      <x:c r="M475" s="33"/>
      <x:c r="N475" s="37"/>
      <x:c r="O475" s="33"/>
      <x:c r="P475" s="33"/>
      <x:c r="Q475" s="33"/>
      <x:c r="R475" s="37"/>
      <x:c r="S475" s="33"/>
      <x:c r="T475" s="33"/>
      <x:c r="U475" s="33"/>
      <x:c r="V475" s="38"/>
      <x:c r="W475" s="34"/>
      <x:c r="X475" s="34"/>
      <x:c r="Y475" s="34"/>
      <x:c r="Z475" s="34"/>
      <x:c r="AA475" s="34"/>
      <x:c r="AB475" s="34"/>
      <x:c r="AC475" s="34"/>
      <x:c r="AD475" s="34"/>
      <x:c r="AE475" s="34"/>
      <x:c r="AF475" s="34"/>
      <x:c r="AG475" s="34"/>
      <x:c r="AH475" s="35" t="str">
        <x:f>IF(COUNTA(X475:AA475)&lt;4,"",ROUND((X475*20)*45%+(((Y475-1)/4*100)*30%+((Z475-1)/4*100)*25%+(1-(AA475-1)/4)*100*25%+(1-(MAX(1,AC475:AE475)-1)/4)*100*20%)*55%,0))</x:f>
      </x:c>
      <x:c r="AI475" s="35" t="str">
        <x:f>IF(AH475="","",IF(AH475&gt;=85,"Excelente",IF(AH475&gt;=70,"Adequado",IF(AH475&gt;=50,"Atenção","Crítico"))))</x:f>
      </x:c>
    </x:row>
    <x:row r="476">
      <x:c r="A476" s="33"/>
      <x:c r="B476" s="33"/>
      <x:c r="C476" s="33"/>
      <x:c r="D476" s="33"/>
      <x:c r="E476" s="36"/>
      <x:c r="F476" s="36"/>
      <x:c r="G476" s="33"/>
      <x:c r="H476" s="33"/>
      <x:c r="I476" s="33"/>
      <x:c r="J476" s="33"/>
      <x:c r="K476" s="33"/>
      <x:c r="L476" s="33"/>
      <x:c r="M476" s="33"/>
      <x:c r="N476" s="37"/>
      <x:c r="O476" s="33"/>
      <x:c r="P476" s="33"/>
      <x:c r="Q476" s="33"/>
      <x:c r="R476" s="37"/>
      <x:c r="S476" s="33"/>
      <x:c r="T476" s="33"/>
      <x:c r="U476" s="33"/>
      <x:c r="V476" s="38"/>
      <x:c r="W476" s="34"/>
      <x:c r="X476" s="34"/>
      <x:c r="Y476" s="34"/>
      <x:c r="Z476" s="34"/>
      <x:c r="AA476" s="34"/>
      <x:c r="AB476" s="34"/>
      <x:c r="AC476" s="34"/>
      <x:c r="AD476" s="34"/>
      <x:c r="AE476" s="34"/>
      <x:c r="AF476" s="34"/>
      <x:c r="AG476" s="34"/>
      <x:c r="AH476" s="35" t="str">
        <x:f>IF(COUNTA(X476:AA476)&lt;4,"",ROUND((X476*20)*45%+(((Y476-1)/4*100)*30%+((Z476-1)/4*100)*25%+(1-(AA476-1)/4)*100*25%+(1-(MAX(1,AC476:AE476)-1)/4)*100*20%)*55%,0))</x:f>
      </x:c>
      <x:c r="AI476" s="35" t="str">
        <x:f>IF(AH476="","",IF(AH476&gt;=85,"Excelente",IF(AH476&gt;=70,"Adequado",IF(AH476&gt;=50,"Atenção","Crítico"))))</x:f>
      </x:c>
    </x:row>
    <x:row r="477">
      <x:c r="A477" s="33"/>
      <x:c r="B477" s="33"/>
      <x:c r="C477" s="33"/>
      <x:c r="D477" s="33"/>
      <x:c r="E477" s="36"/>
      <x:c r="F477" s="36"/>
      <x:c r="G477" s="33"/>
      <x:c r="H477" s="33"/>
      <x:c r="I477" s="33"/>
      <x:c r="J477" s="33"/>
      <x:c r="K477" s="33"/>
      <x:c r="L477" s="33"/>
      <x:c r="M477" s="33"/>
      <x:c r="N477" s="37"/>
      <x:c r="O477" s="33"/>
      <x:c r="P477" s="33"/>
      <x:c r="Q477" s="33"/>
      <x:c r="R477" s="37"/>
      <x:c r="S477" s="33"/>
      <x:c r="T477" s="33"/>
      <x:c r="U477" s="33"/>
      <x:c r="V477" s="38"/>
      <x:c r="W477" s="34"/>
      <x:c r="X477" s="34"/>
      <x:c r="Y477" s="34"/>
      <x:c r="Z477" s="34"/>
      <x:c r="AA477" s="34"/>
      <x:c r="AB477" s="34"/>
      <x:c r="AC477" s="34"/>
      <x:c r="AD477" s="34"/>
      <x:c r="AE477" s="34"/>
      <x:c r="AF477" s="34"/>
      <x:c r="AG477" s="34"/>
      <x:c r="AH477" s="35" t="str">
        <x:f>IF(COUNTA(X477:AA477)&lt;4,"",ROUND((X477*20)*45%+(((Y477-1)/4*100)*30%+((Z477-1)/4*100)*25%+(1-(AA477-1)/4)*100*25%+(1-(MAX(1,AC477:AE477)-1)/4)*100*20%)*55%,0))</x:f>
      </x:c>
      <x:c r="AI477" s="35" t="str">
        <x:f>IF(AH477="","",IF(AH477&gt;=85,"Excelente",IF(AH477&gt;=70,"Adequado",IF(AH477&gt;=50,"Atenção","Crítico"))))</x:f>
      </x:c>
    </x:row>
    <x:row r="478">
      <x:c r="A478" s="33"/>
      <x:c r="B478" s="33"/>
      <x:c r="C478" s="33"/>
      <x:c r="D478" s="33"/>
      <x:c r="E478" s="36"/>
      <x:c r="F478" s="36"/>
      <x:c r="G478" s="33"/>
      <x:c r="H478" s="33"/>
      <x:c r="I478" s="33"/>
      <x:c r="J478" s="33"/>
      <x:c r="K478" s="33"/>
      <x:c r="L478" s="33"/>
      <x:c r="M478" s="33"/>
      <x:c r="N478" s="37"/>
      <x:c r="O478" s="33"/>
      <x:c r="P478" s="33"/>
      <x:c r="Q478" s="33"/>
      <x:c r="R478" s="37"/>
      <x:c r="S478" s="33"/>
      <x:c r="T478" s="33"/>
      <x:c r="U478" s="33"/>
      <x:c r="V478" s="38"/>
      <x:c r="W478" s="34"/>
      <x:c r="X478" s="34"/>
      <x:c r="Y478" s="34"/>
      <x:c r="Z478" s="34"/>
      <x:c r="AA478" s="34"/>
      <x:c r="AB478" s="34"/>
      <x:c r="AC478" s="34"/>
      <x:c r="AD478" s="34"/>
      <x:c r="AE478" s="34"/>
      <x:c r="AF478" s="34"/>
      <x:c r="AG478" s="34"/>
      <x:c r="AH478" s="35" t="str">
        <x:f>IF(COUNTA(X478:AA478)&lt;4,"",ROUND((X478*20)*45%+(((Y478-1)/4*100)*30%+((Z478-1)/4*100)*25%+(1-(AA478-1)/4)*100*25%+(1-(MAX(1,AC478:AE478)-1)/4)*100*20%)*55%,0))</x:f>
      </x:c>
      <x:c r="AI478" s="35" t="str">
        <x:f>IF(AH478="","",IF(AH478&gt;=85,"Excelente",IF(AH478&gt;=70,"Adequado",IF(AH478&gt;=50,"Atenção","Crítico"))))</x:f>
      </x:c>
    </x:row>
    <x:row r="479">
      <x:c r="A479" s="33"/>
      <x:c r="B479" s="33"/>
      <x:c r="C479" s="33"/>
      <x:c r="D479" s="33"/>
      <x:c r="E479" s="36"/>
      <x:c r="F479" s="36"/>
      <x:c r="G479" s="33"/>
      <x:c r="H479" s="33"/>
      <x:c r="I479" s="33"/>
      <x:c r="J479" s="33"/>
      <x:c r="K479" s="33"/>
      <x:c r="L479" s="33"/>
      <x:c r="M479" s="33"/>
      <x:c r="N479" s="37"/>
      <x:c r="O479" s="33"/>
      <x:c r="P479" s="33"/>
      <x:c r="Q479" s="33"/>
      <x:c r="R479" s="37"/>
      <x:c r="S479" s="33"/>
      <x:c r="T479" s="33"/>
      <x:c r="U479" s="33"/>
      <x:c r="V479" s="38"/>
      <x:c r="W479" s="34"/>
      <x:c r="X479" s="34"/>
      <x:c r="Y479" s="34"/>
      <x:c r="Z479" s="34"/>
      <x:c r="AA479" s="34"/>
      <x:c r="AB479" s="34"/>
      <x:c r="AC479" s="34"/>
      <x:c r="AD479" s="34"/>
      <x:c r="AE479" s="34"/>
      <x:c r="AF479" s="34"/>
      <x:c r="AG479" s="34"/>
      <x:c r="AH479" s="35" t="str">
        <x:f>IF(COUNTA(X479:AA479)&lt;4,"",ROUND((X479*20)*45%+(((Y479-1)/4*100)*30%+((Z479-1)/4*100)*25%+(1-(AA479-1)/4)*100*25%+(1-(MAX(1,AC479:AE479)-1)/4)*100*20%)*55%,0))</x:f>
      </x:c>
      <x:c r="AI479" s="35" t="str">
        <x:f>IF(AH479="","",IF(AH479&gt;=85,"Excelente",IF(AH479&gt;=70,"Adequado",IF(AH479&gt;=50,"Atenção","Crítico"))))</x:f>
      </x:c>
    </x:row>
    <x:row r="480">
      <x:c r="A480" s="33"/>
      <x:c r="B480" s="33"/>
      <x:c r="C480" s="33"/>
      <x:c r="D480" s="33"/>
      <x:c r="E480" s="36"/>
      <x:c r="F480" s="36"/>
      <x:c r="G480" s="33"/>
      <x:c r="H480" s="33"/>
      <x:c r="I480" s="33"/>
      <x:c r="J480" s="33"/>
      <x:c r="K480" s="33"/>
      <x:c r="L480" s="33"/>
      <x:c r="M480" s="33"/>
      <x:c r="N480" s="37"/>
      <x:c r="O480" s="33"/>
      <x:c r="P480" s="33"/>
      <x:c r="Q480" s="33"/>
      <x:c r="R480" s="37"/>
      <x:c r="S480" s="33"/>
      <x:c r="T480" s="33"/>
      <x:c r="U480" s="33"/>
      <x:c r="V480" s="38"/>
      <x:c r="W480" s="34"/>
      <x:c r="X480" s="34"/>
      <x:c r="Y480" s="34"/>
      <x:c r="Z480" s="34"/>
      <x:c r="AA480" s="34"/>
      <x:c r="AB480" s="34"/>
      <x:c r="AC480" s="34"/>
      <x:c r="AD480" s="34"/>
      <x:c r="AE480" s="34"/>
      <x:c r="AF480" s="34"/>
      <x:c r="AG480" s="34"/>
      <x:c r="AH480" s="35" t="str">
        <x:f>IF(COUNTA(X480:AA480)&lt;4,"",ROUND((X480*20)*45%+(((Y480-1)/4*100)*30%+((Z480-1)/4*100)*25%+(1-(AA480-1)/4)*100*25%+(1-(MAX(1,AC480:AE480)-1)/4)*100*20%)*55%,0))</x:f>
      </x:c>
      <x:c r="AI480" s="35" t="str">
        <x:f>IF(AH480="","",IF(AH480&gt;=85,"Excelente",IF(AH480&gt;=70,"Adequado",IF(AH480&gt;=50,"Atenção","Crítico"))))</x:f>
      </x:c>
    </x:row>
    <x:row r="481">
      <x:c r="A481" s="33"/>
      <x:c r="B481" s="33"/>
      <x:c r="C481" s="33"/>
      <x:c r="D481" s="33"/>
      <x:c r="E481" s="36"/>
      <x:c r="F481" s="36"/>
      <x:c r="G481" s="33"/>
      <x:c r="H481" s="33"/>
      <x:c r="I481" s="33"/>
      <x:c r="J481" s="33"/>
      <x:c r="K481" s="33"/>
      <x:c r="L481" s="33"/>
      <x:c r="M481" s="33"/>
      <x:c r="N481" s="37"/>
      <x:c r="O481" s="33"/>
      <x:c r="P481" s="33"/>
      <x:c r="Q481" s="33"/>
      <x:c r="R481" s="37"/>
      <x:c r="S481" s="33"/>
      <x:c r="T481" s="33"/>
      <x:c r="U481" s="33"/>
      <x:c r="V481" s="38"/>
      <x:c r="W481" s="34"/>
      <x:c r="X481" s="34"/>
      <x:c r="Y481" s="34"/>
      <x:c r="Z481" s="34"/>
      <x:c r="AA481" s="34"/>
      <x:c r="AB481" s="34"/>
      <x:c r="AC481" s="34"/>
      <x:c r="AD481" s="34"/>
      <x:c r="AE481" s="34"/>
      <x:c r="AF481" s="34"/>
      <x:c r="AG481" s="34"/>
      <x:c r="AH481" s="35" t="str">
        <x:f>IF(COUNTA(X481:AA481)&lt;4,"",ROUND((X481*20)*45%+(((Y481-1)/4*100)*30%+((Z481-1)/4*100)*25%+(1-(AA481-1)/4)*100*25%+(1-(MAX(1,AC481:AE481)-1)/4)*100*20%)*55%,0))</x:f>
      </x:c>
      <x:c r="AI481" s="35" t="str">
        <x:f>IF(AH481="","",IF(AH481&gt;=85,"Excelente",IF(AH481&gt;=70,"Adequado",IF(AH481&gt;=50,"Atenção","Crítico"))))</x:f>
      </x:c>
    </x:row>
    <x:row r="482">
      <x:c r="A482" s="33"/>
      <x:c r="B482" s="33"/>
      <x:c r="C482" s="33"/>
      <x:c r="D482" s="33"/>
      <x:c r="E482" s="36"/>
      <x:c r="F482" s="36"/>
      <x:c r="G482" s="33"/>
      <x:c r="H482" s="33"/>
      <x:c r="I482" s="33"/>
      <x:c r="J482" s="33"/>
      <x:c r="K482" s="33"/>
      <x:c r="L482" s="33"/>
      <x:c r="M482" s="33"/>
      <x:c r="N482" s="37"/>
      <x:c r="O482" s="33"/>
      <x:c r="P482" s="33"/>
      <x:c r="Q482" s="33"/>
      <x:c r="R482" s="37"/>
      <x:c r="S482" s="33"/>
      <x:c r="T482" s="33"/>
      <x:c r="U482" s="33"/>
      <x:c r="V482" s="38"/>
      <x:c r="W482" s="34"/>
      <x:c r="X482" s="34"/>
      <x:c r="Y482" s="34"/>
      <x:c r="Z482" s="34"/>
      <x:c r="AA482" s="34"/>
      <x:c r="AB482" s="34"/>
      <x:c r="AC482" s="34"/>
      <x:c r="AD482" s="34"/>
      <x:c r="AE482" s="34"/>
      <x:c r="AF482" s="34"/>
      <x:c r="AG482" s="34"/>
      <x:c r="AH482" s="35" t="str">
        <x:f>IF(COUNTA(X482:AA482)&lt;4,"",ROUND((X482*20)*45%+(((Y482-1)/4*100)*30%+((Z482-1)/4*100)*25%+(1-(AA482-1)/4)*100*25%+(1-(MAX(1,AC482:AE482)-1)/4)*100*20%)*55%,0))</x:f>
      </x:c>
      <x:c r="AI482" s="35" t="str">
        <x:f>IF(AH482="","",IF(AH482&gt;=85,"Excelente",IF(AH482&gt;=70,"Adequado",IF(AH482&gt;=50,"Atenção","Crítico"))))</x:f>
      </x:c>
    </x:row>
    <x:row r="483">
      <x:c r="A483" s="33"/>
      <x:c r="B483" s="33"/>
      <x:c r="C483" s="33"/>
      <x:c r="D483" s="33"/>
      <x:c r="E483" s="36"/>
      <x:c r="F483" s="36"/>
      <x:c r="G483" s="33"/>
      <x:c r="H483" s="33"/>
      <x:c r="I483" s="33"/>
      <x:c r="J483" s="33"/>
      <x:c r="K483" s="33"/>
      <x:c r="L483" s="33"/>
      <x:c r="M483" s="33"/>
      <x:c r="N483" s="37"/>
      <x:c r="O483" s="33"/>
      <x:c r="P483" s="33"/>
      <x:c r="Q483" s="33"/>
      <x:c r="R483" s="37"/>
      <x:c r="S483" s="33"/>
      <x:c r="T483" s="33"/>
      <x:c r="U483" s="33"/>
      <x:c r="V483" s="38"/>
      <x:c r="W483" s="34"/>
      <x:c r="X483" s="34"/>
      <x:c r="Y483" s="34"/>
      <x:c r="Z483" s="34"/>
      <x:c r="AA483" s="34"/>
      <x:c r="AB483" s="34"/>
      <x:c r="AC483" s="34"/>
      <x:c r="AD483" s="34"/>
      <x:c r="AE483" s="34"/>
      <x:c r="AF483" s="34"/>
      <x:c r="AG483" s="34"/>
      <x:c r="AH483" s="35" t="str">
        <x:f>IF(COUNTA(X483:AA483)&lt;4,"",ROUND((X483*20)*45%+(((Y483-1)/4*100)*30%+((Z483-1)/4*100)*25%+(1-(AA483-1)/4)*100*25%+(1-(MAX(1,AC483:AE483)-1)/4)*100*20%)*55%,0))</x:f>
      </x:c>
      <x:c r="AI483" s="35" t="str">
        <x:f>IF(AH483="","",IF(AH483&gt;=85,"Excelente",IF(AH483&gt;=70,"Adequado",IF(AH483&gt;=50,"Atenção","Crítico"))))</x:f>
      </x:c>
    </x:row>
    <x:row r="484">
      <x:c r="A484" s="33"/>
      <x:c r="B484" s="33"/>
      <x:c r="C484" s="33"/>
      <x:c r="D484" s="33"/>
      <x:c r="E484" s="36"/>
      <x:c r="F484" s="36"/>
      <x:c r="G484" s="33"/>
      <x:c r="H484" s="33"/>
      <x:c r="I484" s="33"/>
      <x:c r="J484" s="33"/>
      <x:c r="K484" s="33"/>
      <x:c r="L484" s="33"/>
      <x:c r="M484" s="33"/>
      <x:c r="N484" s="37"/>
      <x:c r="O484" s="33"/>
      <x:c r="P484" s="33"/>
      <x:c r="Q484" s="33"/>
      <x:c r="R484" s="37"/>
      <x:c r="S484" s="33"/>
      <x:c r="T484" s="33"/>
      <x:c r="U484" s="33"/>
      <x:c r="V484" s="38"/>
      <x:c r="W484" s="34"/>
      <x:c r="X484" s="34"/>
      <x:c r="Y484" s="34"/>
      <x:c r="Z484" s="34"/>
      <x:c r="AA484" s="34"/>
      <x:c r="AB484" s="34"/>
      <x:c r="AC484" s="34"/>
      <x:c r="AD484" s="34"/>
      <x:c r="AE484" s="34"/>
      <x:c r="AF484" s="34"/>
      <x:c r="AG484" s="34"/>
      <x:c r="AH484" s="35" t="str">
        <x:f>IF(COUNTA(X484:AA484)&lt;4,"",ROUND((X484*20)*45%+(((Y484-1)/4*100)*30%+((Z484-1)/4*100)*25%+(1-(AA484-1)/4)*100*25%+(1-(MAX(1,AC484:AE484)-1)/4)*100*20%)*55%,0))</x:f>
      </x:c>
      <x:c r="AI484" s="35" t="str">
        <x:f>IF(AH484="","",IF(AH484&gt;=85,"Excelente",IF(AH484&gt;=70,"Adequado",IF(AH484&gt;=50,"Atenção","Crítico"))))</x:f>
      </x:c>
    </x:row>
    <x:row r="485">
      <x:c r="A485" s="33"/>
      <x:c r="B485" s="33"/>
      <x:c r="C485" s="33"/>
      <x:c r="D485" s="33"/>
      <x:c r="E485" s="36"/>
      <x:c r="F485" s="36"/>
      <x:c r="G485" s="33"/>
      <x:c r="H485" s="33"/>
      <x:c r="I485" s="33"/>
      <x:c r="J485" s="33"/>
      <x:c r="K485" s="33"/>
      <x:c r="L485" s="33"/>
      <x:c r="M485" s="33"/>
      <x:c r="N485" s="37"/>
      <x:c r="O485" s="33"/>
      <x:c r="P485" s="33"/>
      <x:c r="Q485" s="33"/>
      <x:c r="R485" s="37"/>
      <x:c r="S485" s="33"/>
      <x:c r="T485" s="33"/>
      <x:c r="U485" s="33"/>
      <x:c r="V485" s="38"/>
      <x:c r="W485" s="34"/>
      <x:c r="X485" s="34"/>
      <x:c r="Y485" s="34"/>
      <x:c r="Z485" s="34"/>
      <x:c r="AA485" s="34"/>
      <x:c r="AB485" s="34"/>
      <x:c r="AC485" s="34"/>
      <x:c r="AD485" s="34"/>
      <x:c r="AE485" s="34"/>
      <x:c r="AF485" s="34"/>
      <x:c r="AG485" s="34"/>
      <x:c r="AH485" s="35" t="str">
        <x:f>IF(COUNTA(X485:AA485)&lt;4,"",ROUND((X485*20)*45%+(((Y485-1)/4*100)*30%+((Z485-1)/4*100)*25%+(1-(AA485-1)/4)*100*25%+(1-(MAX(1,AC485:AE485)-1)/4)*100*20%)*55%,0))</x:f>
      </x:c>
      <x:c r="AI485" s="35" t="str">
        <x:f>IF(AH485="","",IF(AH485&gt;=85,"Excelente",IF(AH485&gt;=70,"Adequado",IF(AH485&gt;=50,"Atenção","Crítico"))))</x:f>
      </x:c>
    </x:row>
    <x:row r="486">
      <x:c r="A486" s="33"/>
      <x:c r="B486" s="33"/>
      <x:c r="C486" s="33"/>
      <x:c r="D486" s="33"/>
      <x:c r="E486" s="36"/>
      <x:c r="F486" s="36"/>
      <x:c r="G486" s="33"/>
      <x:c r="H486" s="33"/>
      <x:c r="I486" s="33"/>
      <x:c r="J486" s="33"/>
      <x:c r="K486" s="33"/>
      <x:c r="L486" s="33"/>
      <x:c r="M486" s="33"/>
      <x:c r="N486" s="37"/>
      <x:c r="O486" s="33"/>
      <x:c r="P486" s="33"/>
      <x:c r="Q486" s="33"/>
      <x:c r="R486" s="37"/>
      <x:c r="S486" s="33"/>
      <x:c r="T486" s="33"/>
      <x:c r="U486" s="33"/>
      <x:c r="V486" s="38"/>
      <x:c r="W486" s="34"/>
      <x:c r="X486" s="34"/>
      <x:c r="Y486" s="34"/>
      <x:c r="Z486" s="34"/>
      <x:c r="AA486" s="34"/>
      <x:c r="AB486" s="34"/>
      <x:c r="AC486" s="34"/>
      <x:c r="AD486" s="34"/>
      <x:c r="AE486" s="34"/>
      <x:c r="AF486" s="34"/>
      <x:c r="AG486" s="34"/>
      <x:c r="AH486" s="35" t="str">
        <x:f>IF(COUNTA(X486:AA486)&lt;4,"",ROUND((X486*20)*45%+(((Y486-1)/4*100)*30%+((Z486-1)/4*100)*25%+(1-(AA486-1)/4)*100*25%+(1-(MAX(1,AC486:AE486)-1)/4)*100*20%)*55%,0))</x:f>
      </x:c>
      <x:c r="AI486" s="35" t="str">
        <x:f>IF(AH486="","",IF(AH486&gt;=85,"Excelente",IF(AH486&gt;=70,"Adequado",IF(AH486&gt;=50,"Atenção","Crítico"))))</x:f>
      </x:c>
    </x:row>
    <x:row r="487">
      <x:c r="A487" s="33"/>
      <x:c r="B487" s="33"/>
      <x:c r="C487" s="33"/>
      <x:c r="D487" s="33"/>
      <x:c r="E487" s="36"/>
      <x:c r="F487" s="36"/>
      <x:c r="G487" s="33"/>
      <x:c r="H487" s="33"/>
      <x:c r="I487" s="33"/>
      <x:c r="J487" s="33"/>
      <x:c r="K487" s="33"/>
      <x:c r="L487" s="33"/>
      <x:c r="M487" s="33"/>
      <x:c r="N487" s="37"/>
      <x:c r="O487" s="33"/>
      <x:c r="P487" s="33"/>
      <x:c r="Q487" s="33"/>
      <x:c r="R487" s="37"/>
      <x:c r="S487" s="33"/>
      <x:c r="T487" s="33"/>
      <x:c r="U487" s="33"/>
      <x:c r="V487" s="38"/>
      <x:c r="W487" s="34"/>
      <x:c r="X487" s="34"/>
      <x:c r="Y487" s="34"/>
      <x:c r="Z487" s="34"/>
      <x:c r="AA487" s="34"/>
      <x:c r="AB487" s="34"/>
      <x:c r="AC487" s="34"/>
      <x:c r="AD487" s="34"/>
      <x:c r="AE487" s="34"/>
      <x:c r="AF487" s="34"/>
      <x:c r="AG487" s="34"/>
      <x:c r="AH487" s="35" t="str">
        <x:f>IF(COUNTA(X487:AA487)&lt;4,"",ROUND((X487*20)*45%+(((Y487-1)/4*100)*30%+((Z487-1)/4*100)*25%+(1-(AA487-1)/4)*100*25%+(1-(MAX(1,AC487:AE487)-1)/4)*100*20%)*55%,0))</x:f>
      </x:c>
      <x:c r="AI487" s="35" t="str">
        <x:f>IF(AH487="","",IF(AH487&gt;=85,"Excelente",IF(AH487&gt;=70,"Adequado",IF(AH487&gt;=50,"Atenção","Crítico"))))</x:f>
      </x:c>
    </x:row>
    <x:row r="488">
      <x:c r="A488" s="33"/>
      <x:c r="B488" s="33"/>
      <x:c r="C488" s="33"/>
      <x:c r="D488" s="33"/>
      <x:c r="E488" s="36"/>
      <x:c r="F488" s="36"/>
      <x:c r="G488" s="33"/>
      <x:c r="H488" s="33"/>
      <x:c r="I488" s="33"/>
      <x:c r="J488" s="33"/>
      <x:c r="K488" s="33"/>
      <x:c r="L488" s="33"/>
      <x:c r="M488" s="33"/>
      <x:c r="N488" s="37"/>
      <x:c r="O488" s="33"/>
      <x:c r="P488" s="33"/>
      <x:c r="Q488" s="33"/>
      <x:c r="R488" s="37"/>
      <x:c r="S488" s="33"/>
      <x:c r="T488" s="33"/>
      <x:c r="U488" s="33"/>
      <x:c r="V488" s="38"/>
      <x:c r="W488" s="34"/>
      <x:c r="X488" s="34"/>
      <x:c r="Y488" s="34"/>
      <x:c r="Z488" s="34"/>
      <x:c r="AA488" s="34"/>
      <x:c r="AB488" s="34"/>
      <x:c r="AC488" s="34"/>
      <x:c r="AD488" s="34"/>
      <x:c r="AE488" s="34"/>
      <x:c r="AF488" s="34"/>
      <x:c r="AG488" s="34"/>
      <x:c r="AH488" s="35" t="str">
        <x:f>IF(COUNTA(X488:AA488)&lt;4,"",ROUND((X488*20)*45%+(((Y488-1)/4*100)*30%+((Z488-1)/4*100)*25%+(1-(AA488-1)/4)*100*25%+(1-(MAX(1,AC488:AE488)-1)/4)*100*20%)*55%,0))</x:f>
      </x:c>
      <x:c r="AI488" s="35" t="str">
        <x:f>IF(AH488="","",IF(AH488&gt;=85,"Excelente",IF(AH488&gt;=70,"Adequado",IF(AH488&gt;=50,"Atenção","Crítico"))))</x:f>
      </x:c>
    </x:row>
    <x:row r="489">
      <x:c r="A489" s="33"/>
      <x:c r="B489" s="33"/>
      <x:c r="C489" s="33"/>
      <x:c r="D489" s="33"/>
      <x:c r="E489" s="36"/>
      <x:c r="F489" s="36"/>
      <x:c r="G489" s="33"/>
      <x:c r="H489" s="33"/>
      <x:c r="I489" s="33"/>
      <x:c r="J489" s="33"/>
      <x:c r="K489" s="33"/>
      <x:c r="L489" s="33"/>
      <x:c r="M489" s="33"/>
      <x:c r="N489" s="37"/>
      <x:c r="O489" s="33"/>
      <x:c r="P489" s="33"/>
      <x:c r="Q489" s="33"/>
      <x:c r="R489" s="37"/>
      <x:c r="S489" s="33"/>
      <x:c r="T489" s="33"/>
      <x:c r="U489" s="33"/>
      <x:c r="V489" s="38"/>
      <x:c r="W489" s="34"/>
      <x:c r="X489" s="34"/>
      <x:c r="Y489" s="34"/>
      <x:c r="Z489" s="34"/>
      <x:c r="AA489" s="34"/>
      <x:c r="AB489" s="34"/>
      <x:c r="AC489" s="34"/>
      <x:c r="AD489" s="34"/>
      <x:c r="AE489" s="34"/>
      <x:c r="AF489" s="34"/>
      <x:c r="AG489" s="34"/>
      <x:c r="AH489" s="35" t="str">
        <x:f>IF(COUNTA(X489:AA489)&lt;4,"",ROUND((X489*20)*45%+(((Y489-1)/4*100)*30%+((Z489-1)/4*100)*25%+(1-(AA489-1)/4)*100*25%+(1-(MAX(1,AC489:AE489)-1)/4)*100*20%)*55%,0))</x:f>
      </x:c>
      <x:c r="AI489" s="35" t="str">
        <x:f>IF(AH489="","",IF(AH489&gt;=85,"Excelente",IF(AH489&gt;=70,"Adequado",IF(AH489&gt;=50,"Atenção","Crítico"))))</x:f>
      </x:c>
    </x:row>
    <x:row r="490">
      <x:c r="A490" s="33"/>
      <x:c r="B490" s="33"/>
      <x:c r="C490" s="33"/>
      <x:c r="D490" s="33"/>
      <x:c r="E490" s="36"/>
      <x:c r="F490" s="36"/>
      <x:c r="G490" s="33"/>
      <x:c r="H490" s="33"/>
      <x:c r="I490" s="33"/>
      <x:c r="J490" s="33"/>
      <x:c r="K490" s="33"/>
      <x:c r="L490" s="33"/>
      <x:c r="M490" s="33"/>
      <x:c r="N490" s="37"/>
      <x:c r="O490" s="33"/>
      <x:c r="P490" s="33"/>
      <x:c r="Q490" s="33"/>
      <x:c r="R490" s="37"/>
      <x:c r="S490" s="33"/>
      <x:c r="T490" s="33"/>
      <x:c r="U490" s="33"/>
      <x:c r="V490" s="38"/>
      <x:c r="W490" s="34"/>
      <x:c r="X490" s="34"/>
      <x:c r="Y490" s="34"/>
      <x:c r="Z490" s="34"/>
      <x:c r="AA490" s="34"/>
      <x:c r="AB490" s="34"/>
      <x:c r="AC490" s="34"/>
      <x:c r="AD490" s="34"/>
      <x:c r="AE490" s="34"/>
      <x:c r="AF490" s="34"/>
      <x:c r="AG490" s="34"/>
      <x:c r="AH490" s="35" t="str">
        <x:f>IF(COUNTA(X490:AA490)&lt;4,"",ROUND((X490*20)*45%+(((Y490-1)/4*100)*30%+((Z490-1)/4*100)*25%+(1-(AA490-1)/4)*100*25%+(1-(MAX(1,AC490:AE490)-1)/4)*100*20%)*55%,0))</x:f>
      </x:c>
      <x:c r="AI490" s="35" t="str">
        <x:f>IF(AH490="","",IF(AH490&gt;=85,"Excelente",IF(AH490&gt;=70,"Adequado",IF(AH490&gt;=50,"Atenção","Crítico"))))</x:f>
      </x:c>
    </x:row>
    <x:row r="491">
      <x:c r="A491" s="33"/>
      <x:c r="B491" s="33"/>
      <x:c r="C491" s="33"/>
      <x:c r="D491" s="33"/>
      <x:c r="E491" s="36"/>
      <x:c r="F491" s="36"/>
      <x:c r="G491" s="33"/>
      <x:c r="H491" s="33"/>
      <x:c r="I491" s="33"/>
      <x:c r="J491" s="33"/>
      <x:c r="K491" s="33"/>
      <x:c r="L491" s="33"/>
      <x:c r="M491" s="33"/>
      <x:c r="N491" s="37"/>
      <x:c r="O491" s="33"/>
      <x:c r="P491" s="33"/>
      <x:c r="Q491" s="33"/>
      <x:c r="R491" s="37"/>
      <x:c r="S491" s="33"/>
      <x:c r="T491" s="33"/>
      <x:c r="U491" s="33"/>
      <x:c r="V491" s="38"/>
      <x:c r="W491" s="34"/>
      <x:c r="X491" s="34"/>
      <x:c r="Y491" s="34"/>
      <x:c r="Z491" s="34"/>
      <x:c r="AA491" s="34"/>
      <x:c r="AB491" s="34"/>
      <x:c r="AC491" s="34"/>
      <x:c r="AD491" s="34"/>
      <x:c r="AE491" s="34"/>
      <x:c r="AF491" s="34"/>
      <x:c r="AG491" s="34"/>
      <x:c r="AH491" s="35" t="str">
        <x:f>IF(COUNTA(X491:AA491)&lt;4,"",ROUND((X491*20)*45%+(((Y491-1)/4*100)*30%+((Z491-1)/4*100)*25%+(1-(AA491-1)/4)*100*25%+(1-(MAX(1,AC491:AE491)-1)/4)*100*20%)*55%,0))</x:f>
      </x:c>
      <x:c r="AI491" s="35" t="str">
        <x:f>IF(AH491="","",IF(AH491&gt;=85,"Excelente",IF(AH491&gt;=70,"Adequado",IF(AH491&gt;=50,"Atenção","Crítico"))))</x:f>
      </x:c>
    </x:row>
    <x:row r="492">
      <x:c r="A492" s="33"/>
      <x:c r="B492" s="33"/>
      <x:c r="C492" s="33"/>
      <x:c r="D492" s="33"/>
      <x:c r="E492" s="36"/>
      <x:c r="F492" s="36"/>
      <x:c r="G492" s="33"/>
      <x:c r="H492" s="33"/>
      <x:c r="I492" s="33"/>
      <x:c r="J492" s="33"/>
      <x:c r="K492" s="33"/>
      <x:c r="L492" s="33"/>
      <x:c r="M492" s="33"/>
      <x:c r="N492" s="37"/>
      <x:c r="O492" s="33"/>
      <x:c r="P492" s="33"/>
      <x:c r="Q492" s="33"/>
      <x:c r="R492" s="37"/>
      <x:c r="S492" s="33"/>
      <x:c r="T492" s="33"/>
      <x:c r="U492" s="33"/>
      <x:c r="V492" s="38"/>
      <x:c r="W492" s="34"/>
      <x:c r="X492" s="34"/>
      <x:c r="Y492" s="34"/>
      <x:c r="Z492" s="34"/>
      <x:c r="AA492" s="34"/>
      <x:c r="AB492" s="34"/>
      <x:c r="AC492" s="34"/>
      <x:c r="AD492" s="34"/>
      <x:c r="AE492" s="34"/>
      <x:c r="AF492" s="34"/>
      <x:c r="AG492" s="34"/>
      <x:c r="AH492" s="35" t="str">
        <x:f>IF(COUNTA(X492:AA492)&lt;4,"",ROUND((X492*20)*45%+(((Y492-1)/4*100)*30%+((Z492-1)/4*100)*25%+(1-(AA492-1)/4)*100*25%+(1-(MAX(1,AC492:AE492)-1)/4)*100*20%)*55%,0))</x:f>
      </x:c>
      <x:c r="AI492" s="35" t="str">
        <x:f>IF(AH492="","",IF(AH492&gt;=85,"Excelente",IF(AH492&gt;=70,"Adequado",IF(AH492&gt;=50,"Atenção","Crítico"))))</x:f>
      </x:c>
    </x:row>
    <x:row r="493">
      <x:c r="A493" s="33"/>
      <x:c r="B493" s="33"/>
      <x:c r="C493" s="33"/>
      <x:c r="D493" s="33"/>
      <x:c r="E493" s="36"/>
      <x:c r="F493" s="36"/>
      <x:c r="G493" s="33"/>
      <x:c r="H493" s="33"/>
      <x:c r="I493" s="33"/>
      <x:c r="J493" s="33"/>
      <x:c r="K493" s="33"/>
      <x:c r="L493" s="33"/>
      <x:c r="M493" s="33"/>
      <x:c r="N493" s="37"/>
      <x:c r="O493" s="33"/>
      <x:c r="P493" s="33"/>
      <x:c r="Q493" s="33"/>
      <x:c r="R493" s="37"/>
      <x:c r="S493" s="33"/>
      <x:c r="T493" s="33"/>
      <x:c r="U493" s="33"/>
      <x:c r="V493" s="38"/>
      <x:c r="W493" s="34"/>
      <x:c r="X493" s="34"/>
      <x:c r="Y493" s="34"/>
      <x:c r="Z493" s="34"/>
      <x:c r="AA493" s="34"/>
      <x:c r="AB493" s="34"/>
      <x:c r="AC493" s="34"/>
      <x:c r="AD493" s="34"/>
      <x:c r="AE493" s="34"/>
      <x:c r="AF493" s="34"/>
      <x:c r="AG493" s="34"/>
      <x:c r="AH493" s="35" t="str">
        <x:f>IF(COUNTA(X493:AA493)&lt;4,"",ROUND((X493*20)*45%+(((Y493-1)/4*100)*30%+((Z493-1)/4*100)*25%+(1-(AA493-1)/4)*100*25%+(1-(MAX(1,AC493:AE493)-1)/4)*100*20%)*55%,0))</x:f>
      </x:c>
      <x:c r="AI493" s="35" t="str">
        <x:f>IF(AH493="","",IF(AH493&gt;=85,"Excelente",IF(AH493&gt;=70,"Adequado",IF(AH493&gt;=50,"Atenção","Crítico"))))</x:f>
      </x:c>
    </x:row>
    <x:row r="494">
      <x:c r="A494" s="33"/>
      <x:c r="B494" s="33"/>
      <x:c r="C494" s="33"/>
      <x:c r="D494" s="33"/>
      <x:c r="E494" s="36"/>
      <x:c r="F494" s="36"/>
      <x:c r="G494" s="33"/>
      <x:c r="H494" s="33"/>
      <x:c r="I494" s="33"/>
      <x:c r="J494" s="33"/>
      <x:c r="K494" s="33"/>
      <x:c r="L494" s="33"/>
      <x:c r="M494" s="33"/>
      <x:c r="N494" s="37"/>
      <x:c r="O494" s="33"/>
      <x:c r="P494" s="33"/>
      <x:c r="Q494" s="33"/>
      <x:c r="R494" s="37"/>
      <x:c r="S494" s="33"/>
      <x:c r="T494" s="33"/>
      <x:c r="U494" s="33"/>
      <x:c r="V494" s="38"/>
      <x:c r="W494" s="34"/>
      <x:c r="X494" s="34"/>
      <x:c r="Y494" s="34"/>
      <x:c r="Z494" s="34"/>
      <x:c r="AA494" s="34"/>
      <x:c r="AB494" s="34"/>
      <x:c r="AC494" s="34"/>
      <x:c r="AD494" s="34"/>
      <x:c r="AE494" s="34"/>
      <x:c r="AF494" s="34"/>
      <x:c r="AG494" s="34"/>
      <x:c r="AH494" s="35" t="str">
        <x:f>IF(COUNTA(X494:AA494)&lt;4,"",ROUND((X494*20)*45%+(((Y494-1)/4*100)*30%+((Z494-1)/4*100)*25%+(1-(AA494-1)/4)*100*25%+(1-(MAX(1,AC494:AE494)-1)/4)*100*20%)*55%,0))</x:f>
      </x:c>
      <x:c r="AI494" s="35" t="str">
        <x:f>IF(AH494="","",IF(AH494&gt;=85,"Excelente",IF(AH494&gt;=70,"Adequado",IF(AH494&gt;=50,"Atenção","Crítico"))))</x:f>
      </x:c>
    </x:row>
    <x:row r="495">
      <x:c r="A495" s="33"/>
      <x:c r="B495" s="33"/>
      <x:c r="C495" s="33"/>
      <x:c r="D495" s="33"/>
      <x:c r="E495" s="36"/>
      <x:c r="F495" s="36"/>
      <x:c r="G495" s="33"/>
      <x:c r="H495" s="33"/>
      <x:c r="I495" s="33"/>
      <x:c r="J495" s="33"/>
      <x:c r="K495" s="33"/>
      <x:c r="L495" s="33"/>
      <x:c r="M495" s="33"/>
      <x:c r="N495" s="37"/>
      <x:c r="O495" s="33"/>
      <x:c r="P495" s="33"/>
      <x:c r="Q495" s="33"/>
      <x:c r="R495" s="37"/>
      <x:c r="S495" s="33"/>
      <x:c r="T495" s="33"/>
      <x:c r="U495" s="33"/>
      <x:c r="V495" s="38"/>
      <x:c r="W495" s="34"/>
      <x:c r="X495" s="34"/>
      <x:c r="Y495" s="34"/>
      <x:c r="Z495" s="34"/>
      <x:c r="AA495" s="34"/>
      <x:c r="AB495" s="34"/>
      <x:c r="AC495" s="34"/>
      <x:c r="AD495" s="34"/>
      <x:c r="AE495" s="34"/>
      <x:c r="AF495" s="34"/>
      <x:c r="AG495" s="34"/>
      <x:c r="AH495" s="35" t="str">
        <x:f>IF(COUNTA(X495:AA495)&lt;4,"",ROUND((X495*20)*45%+(((Y495-1)/4*100)*30%+((Z495-1)/4*100)*25%+(1-(AA495-1)/4)*100*25%+(1-(MAX(1,AC495:AE495)-1)/4)*100*20%)*55%,0))</x:f>
      </x:c>
      <x:c r="AI495" s="35" t="str">
        <x:f>IF(AH495="","",IF(AH495&gt;=85,"Excelente",IF(AH495&gt;=70,"Adequado",IF(AH495&gt;=50,"Atenção","Crítico"))))</x:f>
      </x:c>
    </x:row>
    <x:row r="496">
      <x:c r="A496" s="33"/>
      <x:c r="B496" s="33"/>
      <x:c r="C496" s="33"/>
      <x:c r="D496" s="33"/>
      <x:c r="E496" s="36"/>
      <x:c r="F496" s="36"/>
      <x:c r="G496" s="33"/>
      <x:c r="H496" s="33"/>
      <x:c r="I496" s="33"/>
      <x:c r="J496" s="33"/>
      <x:c r="K496" s="33"/>
      <x:c r="L496" s="33"/>
      <x:c r="M496" s="33"/>
      <x:c r="N496" s="37"/>
      <x:c r="O496" s="33"/>
      <x:c r="P496" s="33"/>
      <x:c r="Q496" s="33"/>
      <x:c r="R496" s="37"/>
      <x:c r="S496" s="33"/>
      <x:c r="T496" s="33"/>
      <x:c r="U496" s="33"/>
      <x:c r="V496" s="38"/>
      <x:c r="W496" s="34"/>
      <x:c r="X496" s="34"/>
      <x:c r="Y496" s="34"/>
      <x:c r="Z496" s="34"/>
      <x:c r="AA496" s="34"/>
      <x:c r="AB496" s="34"/>
      <x:c r="AC496" s="34"/>
      <x:c r="AD496" s="34"/>
      <x:c r="AE496" s="34"/>
      <x:c r="AF496" s="34"/>
      <x:c r="AG496" s="34"/>
      <x:c r="AH496" s="35" t="str">
        <x:f>IF(COUNTA(X496:AA496)&lt;4,"",ROUND((X496*20)*45%+(((Y496-1)/4*100)*30%+((Z496-1)/4*100)*25%+(1-(AA496-1)/4)*100*25%+(1-(MAX(1,AC496:AE496)-1)/4)*100*20%)*55%,0))</x:f>
      </x:c>
      <x:c r="AI496" s="35" t="str">
        <x:f>IF(AH496="","",IF(AH496&gt;=85,"Excelente",IF(AH496&gt;=70,"Adequado",IF(AH496&gt;=50,"Atenção","Crítico"))))</x:f>
      </x:c>
    </x:row>
    <x:row r="497">
      <x:c r="A497" s="33"/>
      <x:c r="B497" s="33"/>
      <x:c r="C497" s="33"/>
      <x:c r="D497" s="33"/>
      <x:c r="E497" s="36"/>
      <x:c r="F497" s="36"/>
      <x:c r="G497" s="33"/>
      <x:c r="H497" s="33"/>
      <x:c r="I497" s="33"/>
      <x:c r="J497" s="33"/>
      <x:c r="K497" s="33"/>
      <x:c r="L497" s="33"/>
      <x:c r="M497" s="33"/>
      <x:c r="N497" s="37"/>
      <x:c r="O497" s="33"/>
      <x:c r="P497" s="33"/>
      <x:c r="Q497" s="33"/>
      <x:c r="R497" s="37"/>
      <x:c r="S497" s="33"/>
      <x:c r="T497" s="33"/>
      <x:c r="U497" s="33"/>
      <x:c r="V497" s="38"/>
      <x:c r="W497" s="34"/>
      <x:c r="X497" s="34"/>
      <x:c r="Y497" s="34"/>
      <x:c r="Z497" s="34"/>
      <x:c r="AA497" s="34"/>
      <x:c r="AB497" s="34"/>
      <x:c r="AC497" s="34"/>
      <x:c r="AD497" s="34"/>
      <x:c r="AE497" s="34"/>
      <x:c r="AF497" s="34"/>
      <x:c r="AG497" s="34"/>
      <x:c r="AH497" s="35" t="str">
        <x:f>IF(COUNTA(X497:AA497)&lt;4,"",ROUND((X497*20)*45%+(((Y497-1)/4*100)*30%+((Z497-1)/4*100)*25%+(1-(AA497-1)/4)*100*25%+(1-(MAX(1,AC497:AE497)-1)/4)*100*20%)*55%,0))</x:f>
      </x:c>
      <x:c r="AI497" s="35" t="str">
        <x:f>IF(AH497="","",IF(AH497&gt;=85,"Excelente",IF(AH497&gt;=70,"Adequado",IF(AH497&gt;=50,"Atenção","Crítico"))))</x:f>
      </x:c>
    </x:row>
    <x:row r="498">
      <x:c r="A498" s="33"/>
      <x:c r="B498" s="33"/>
      <x:c r="C498" s="33"/>
      <x:c r="D498" s="33"/>
      <x:c r="E498" s="36"/>
      <x:c r="F498" s="36"/>
      <x:c r="G498" s="33"/>
      <x:c r="H498" s="33"/>
      <x:c r="I498" s="33"/>
      <x:c r="J498" s="33"/>
      <x:c r="K498" s="33"/>
      <x:c r="L498" s="33"/>
      <x:c r="M498" s="33"/>
      <x:c r="N498" s="37"/>
      <x:c r="O498" s="33"/>
      <x:c r="P498" s="33"/>
      <x:c r="Q498" s="33"/>
      <x:c r="R498" s="37"/>
      <x:c r="S498" s="33"/>
      <x:c r="T498" s="33"/>
      <x:c r="U498" s="33"/>
      <x:c r="V498" s="38"/>
      <x:c r="W498" s="34"/>
      <x:c r="X498" s="34"/>
      <x:c r="Y498" s="34"/>
      <x:c r="Z498" s="34"/>
      <x:c r="AA498" s="34"/>
      <x:c r="AB498" s="34"/>
      <x:c r="AC498" s="34"/>
      <x:c r="AD498" s="34"/>
      <x:c r="AE498" s="34"/>
      <x:c r="AF498" s="34"/>
      <x:c r="AG498" s="34"/>
      <x:c r="AH498" s="35" t="str">
        <x:f>IF(COUNTA(X498:AA498)&lt;4,"",ROUND((X498*20)*45%+(((Y498-1)/4*100)*30%+((Z498-1)/4*100)*25%+(1-(AA498-1)/4)*100*25%+(1-(MAX(1,AC498:AE498)-1)/4)*100*20%)*55%,0))</x:f>
      </x:c>
      <x:c r="AI498" s="35" t="str">
        <x:f>IF(AH498="","",IF(AH498&gt;=85,"Excelente",IF(AH498&gt;=70,"Adequado",IF(AH498&gt;=50,"Atenção","Crítico"))))</x:f>
      </x:c>
    </x:row>
    <x:row r="499">
      <x:c r="A499" s="33"/>
      <x:c r="B499" s="33"/>
      <x:c r="C499" s="33"/>
      <x:c r="D499" s="33"/>
      <x:c r="E499" s="36"/>
      <x:c r="F499" s="36"/>
      <x:c r="G499" s="33"/>
      <x:c r="H499" s="33"/>
      <x:c r="I499" s="33"/>
      <x:c r="J499" s="33"/>
      <x:c r="K499" s="33"/>
      <x:c r="L499" s="33"/>
      <x:c r="M499" s="33"/>
      <x:c r="N499" s="37"/>
      <x:c r="O499" s="33"/>
      <x:c r="P499" s="33"/>
      <x:c r="Q499" s="33"/>
      <x:c r="R499" s="37"/>
      <x:c r="S499" s="33"/>
      <x:c r="T499" s="33"/>
      <x:c r="U499" s="33"/>
      <x:c r="V499" s="38"/>
      <x:c r="W499" s="34"/>
      <x:c r="X499" s="34"/>
      <x:c r="Y499" s="34"/>
      <x:c r="Z499" s="34"/>
      <x:c r="AA499" s="34"/>
      <x:c r="AB499" s="34"/>
      <x:c r="AC499" s="34"/>
      <x:c r="AD499" s="34"/>
      <x:c r="AE499" s="34"/>
      <x:c r="AF499" s="34"/>
      <x:c r="AG499" s="34"/>
      <x:c r="AH499" s="35" t="str">
        <x:f>IF(COUNTA(X499:AA499)&lt;4,"",ROUND((X499*20)*45%+(((Y499-1)/4*100)*30%+((Z499-1)/4*100)*25%+(1-(AA499-1)/4)*100*25%+(1-(MAX(1,AC499:AE499)-1)/4)*100*20%)*55%,0))</x:f>
      </x:c>
      <x:c r="AI499" s="35" t="str">
        <x:f>IF(AH499="","",IF(AH499&gt;=85,"Excelente",IF(AH499&gt;=70,"Adequado",IF(AH499&gt;=50,"Atenção","Crítico"))))</x:f>
      </x:c>
    </x:row>
    <x:row r="500">
      <x:c r="A500" s="33"/>
      <x:c r="B500" s="33"/>
      <x:c r="C500" s="33"/>
      <x:c r="D500" s="33"/>
      <x:c r="E500" s="36"/>
      <x:c r="F500" s="36"/>
      <x:c r="G500" s="33"/>
      <x:c r="H500" s="33"/>
      <x:c r="I500" s="33"/>
      <x:c r="J500" s="33"/>
      <x:c r="K500" s="33"/>
      <x:c r="L500" s="33"/>
      <x:c r="M500" s="33"/>
      <x:c r="N500" s="37"/>
      <x:c r="O500" s="33"/>
      <x:c r="P500" s="33"/>
      <x:c r="Q500" s="33"/>
      <x:c r="R500" s="37"/>
      <x:c r="S500" s="33"/>
      <x:c r="T500" s="33"/>
      <x:c r="U500" s="33"/>
      <x:c r="V500" s="38"/>
      <x:c r="W500" s="34"/>
      <x:c r="X500" s="34"/>
      <x:c r="Y500" s="34"/>
      <x:c r="Z500" s="34"/>
      <x:c r="AA500" s="34"/>
      <x:c r="AB500" s="34"/>
      <x:c r="AC500" s="34"/>
      <x:c r="AD500" s="34"/>
      <x:c r="AE500" s="34"/>
      <x:c r="AF500" s="34"/>
      <x:c r="AG500" s="34"/>
      <x:c r="AH500" s="35" t="str">
        <x:f>IF(COUNTA(X500:AA500)&lt;4,"",ROUND((X500*20)*45%+(((Y500-1)/4*100)*30%+((Z500-1)/4*100)*25%+(1-(AA500-1)/4)*100*25%+(1-(MAX(1,AC500:AE500)-1)/4)*100*20%)*55%,0))</x:f>
      </x:c>
      <x:c r="AI500" s="35" t="str">
        <x:f>IF(AH500="","",IF(AH500&gt;=85,"Excelente",IF(AH500&gt;=70,"Adequado",IF(AH500&gt;=50,"Atenção","Crítico"))))</x:f>
      </x:c>
    </x:row>
    <x:row r="501">
      <x:c r="A501" s="33"/>
      <x:c r="B501" s="33"/>
      <x:c r="C501" s="33"/>
      <x:c r="D501" s="33"/>
      <x:c r="E501" s="36"/>
      <x:c r="F501" s="36"/>
      <x:c r="G501" s="33"/>
      <x:c r="H501" s="33"/>
      <x:c r="I501" s="33"/>
      <x:c r="J501" s="33"/>
      <x:c r="K501" s="33"/>
      <x:c r="L501" s="33"/>
      <x:c r="M501" s="33"/>
      <x:c r="N501" s="37"/>
      <x:c r="O501" s="33"/>
      <x:c r="P501" s="33"/>
      <x:c r="Q501" s="33"/>
      <x:c r="R501" s="37"/>
      <x:c r="S501" s="33"/>
      <x:c r="T501" s="33"/>
      <x:c r="U501" s="33"/>
      <x:c r="V501" s="38"/>
      <x:c r="W501" s="34"/>
      <x:c r="X501" s="34"/>
      <x:c r="Y501" s="34"/>
      <x:c r="Z501" s="34"/>
      <x:c r="AA501" s="34"/>
      <x:c r="AB501" s="34"/>
      <x:c r="AC501" s="34"/>
      <x:c r="AD501" s="34"/>
      <x:c r="AE501" s="34"/>
      <x:c r="AF501" s="34"/>
      <x:c r="AG501" s="34"/>
      <x:c r="AH501" s="35" t="str">
        <x:f>IF(COUNTA(X501:AA501)&lt;4,"",ROUND((X501*20)*45%+(((Y501-1)/4*100)*30%+((Z501-1)/4*100)*25%+(1-(AA501-1)/4)*100*25%+(1-(MAX(1,AC501:AE501)-1)/4)*100*20%)*55%,0))</x:f>
      </x:c>
      <x:c r="AI501" s="35" t="str">
        <x:f>IF(AH501="","",IF(AH501&gt;=85,"Excelente",IF(AH501&gt;=70,"Adequado",IF(AH501&gt;=50,"Atenção","Crítico"))))</x:f>
      </x:c>
    </x:row>
    <x:row r="502">
      <x:c r="A502" s="33"/>
      <x:c r="B502" s="33"/>
      <x:c r="C502" s="33"/>
      <x:c r="D502" s="33"/>
      <x:c r="E502" s="36"/>
      <x:c r="F502" s="36"/>
      <x:c r="G502" s="33"/>
      <x:c r="H502" s="33"/>
      <x:c r="I502" s="33"/>
      <x:c r="J502" s="33"/>
      <x:c r="K502" s="33"/>
      <x:c r="L502" s="33"/>
      <x:c r="M502" s="33"/>
      <x:c r="N502" s="37"/>
      <x:c r="O502" s="33"/>
      <x:c r="P502" s="33"/>
      <x:c r="Q502" s="33"/>
      <x:c r="R502" s="37"/>
      <x:c r="S502" s="33"/>
      <x:c r="T502" s="33"/>
      <x:c r="U502" s="33"/>
      <x:c r="V502" s="38"/>
      <x:c r="W502" s="34"/>
      <x:c r="X502" s="34"/>
      <x:c r="Y502" s="34"/>
      <x:c r="Z502" s="34"/>
      <x:c r="AA502" s="34"/>
      <x:c r="AB502" s="34"/>
      <x:c r="AC502" s="34"/>
      <x:c r="AD502" s="34"/>
      <x:c r="AE502" s="34"/>
      <x:c r="AF502" s="34"/>
      <x:c r="AG502" s="34"/>
      <x:c r="AH502" s="35" t="str">
        <x:f>IF(COUNTA(X502:AA502)&lt;4,"",ROUND((X502*20)*45%+(((Y502-1)/4*100)*30%+((Z502-1)/4*100)*25%+(1-(AA502-1)/4)*100*25%+(1-(MAX(1,AC502:AE502)-1)/4)*100*20%)*55%,0))</x:f>
      </x:c>
      <x:c r="AI502" s="35" t="str">
        <x:f>IF(AH502="","",IF(AH502&gt;=85,"Excelente",IF(AH502&gt;=70,"Adequado",IF(AH502&gt;=50,"Atenção","Crítico"))))</x:f>
      </x:c>
    </x:row>
    <x:row r="503">
      <x:c r="A503" s="33"/>
      <x:c r="B503" s="33"/>
      <x:c r="C503" s="33"/>
      <x:c r="D503" s="33"/>
      <x:c r="E503" s="36"/>
      <x:c r="F503" s="36"/>
      <x:c r="G503" s="33"/>
      <x:c r="H503" s="33"/>
      <x:c r="I503" s="33"/>
      <x:c r="J503" s="33"/>
      <x:c r="K503" s="33"/>
      <x:c r="L503" s="33"/>
      <x:c r="M503" s="33"/>
      <x:c r="N503" s="37"/>
      <x:c r="O503" s="33"/>
      <x:c r="P503" s="33"/>
      <x:c r="Q503" s="33"/>
      <x:c r="R503" s="37"/>
      <x:c r="S503" s="33"/>
      <x:c r="T503" s="33"/>
      <x:c r="U503" s="33"/>
      <x:c r="V503" s="38"/>
      <x:c r="W503" s="34"/>
      <x:c r="X503" s="34"/>
      <x:c r="Y503" s="34"/>
      <x:c r="Z503" s="34"/>
      <x:c r="AA503" s="34"/>
      <x:c r="AB503" s="34"/>
      <x:c r="AC503" s="34"/>
      <x:c r="AD503" s="34"/>
      <x:c r="AE503" s="34"/>
      <x:c r="AF503" s="34"/>
      <x:c r="AG503" s="34"/>
      <x:c r="AH503" s="35" t="str">
        <x:f>IF(COUNTA(X503:AA503)&lt;4,"",ROUND((X503*20)*45%+(((Y503-1)/4*100)*30%+((Z503-1)/4*100)*25%+(1-(AA503-1)/4)*100*25%+(1-(MAX(1,AC503:AE503)-1)/4)*100*20%)*55%,0))</x:f>
      </x:c>
      <x:c r="AI503" s="35" t="str">
        <x:f>IF(AH503="","",IF(AH503&gt;=85,"Excelente",IF(AH503&gt;=70,"Adequado",IF(AH503&gt;=50,"Atenção","Crítico"))))</x:f>
      </x:c>
    </x:row>
  </x:sheetData>
  <x:mergeCells>
    <x:mergeCell ref="A1:AI1"/>
    <x:mergeCell ref="A2:U2"/>
    <x:mergeCell ref="V2:AG2"/>
    <x:mergeCell ref="AH2:AI2"/>
  </x:mergeCells>
  <x:conditionalFormatting sqref="AH4:AH503">
    <x:cfRule type="colorScale" priority="1">
      <x:colorScale>
        <x:cfvo type="min"/>
        <x:cfvo type="percentile" val="50"/>
        <x:cfvo type="max"/>
        <x:color rgb="FFF8CBCB"/>
        <x:color rgb="FFFFE59A"/>
        <x:color rgb="FFB7E4C7"/>
      </x:colorScale>
    </x:cfRule>
  </x:conditionalFormatting>
  <x:dataValidations count="9">
    <x:dataValidation type="list" sqref="G4:G503">
      <x:formula1>"VCU I,VCU II,VCU III"</x:formula1>
    </x:dataValidation>
    <x:dataValidation type="list" sqref="L4:L503">
      <x:formula1>"Ensaios,Coleção,Founder,PD,Multiqualidades,Outro"</x:formula1>
    </x:dataValidation>
    <x:dataValidation type="list" sqref="Q4:Q503">
      <x:formula1>"Semeadura,Perfilhamento,Alongamento,Emborrachamento,Espigamento,Enchimento de grão,Maturidade"</x:formula1>
    </x:dataValidation>
    <x:dataValidation type="list" sqref="T4:T503">
      <x:formula1>"Baixa,Média,Alta,Crítica"</x:formula1>
    </x:dataValidation>
    <x:dataValidation type="list" sqref="U4:U503">
      <x:formula1>"Não iniciado,Em andamento,Finalizado,Em atraso"</x:formula1>
    </x:dataValidation>
    <x:dataValidation type="list" sqref="W4:W503">
      <x:formula1>"Sim,Parcial,Não"</x:formula1>
    </x:dataValidation>
    <x:dataValidation type="list" sqref="AB4:AB503">
      <x:formula1>"Não necessário,Pendente,Realizado,Não realizado"</x:formula1>
    </x:dataValidation>
    <x:dataValidation operator="between" sqref="X4:AA503">
      <x:formula1>1</x:formula1>
      <x:formula2>5</x:formula2>
    </x:dataValidation>
    <x:dataValidation operator="between" sqref="AC4:AE503">
      <x:formula1>0</x:formula1>
      <x:formula2>5</x:formula2>
    </x:dataValidation>
  </x:dataValidations>
  <x:pageMargins left="0.7" right="0.7" top="0.75" bottom="0.75" header="0.3" footer="0.3"/>
</x:worksheet>
</file>
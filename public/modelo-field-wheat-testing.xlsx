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e8809c4159b94273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" sheetId="1" r:id="R5fa7571fd76d49b3"/>
    <x:sheet xmlns:r="http://schemas.openxmlformats.org/officeDocument/2006/relationships" name="Monthly" sheetId="2" r:id="R9bc9424c46c746c6"/>
    <x:sheet xmlns:r="http://schemas.openxmlformats.org/officeDocument/2006/relationships" name="LEIA-ME" sheetId="3" r:id="Rc57106260007464a"/>
    <x:sheet xmlns:r="http://schemas.openxmlformats.org/officeDocument/2006/relationships" name="Localidades" sheetId="4" r:id="Rc48138be36ca436d"/>
    <x:sheet xmlns:r="http://schemas.openxmlformats.org/officeDocument/2006/relationships" name="Campos" sheetId="5" r:id="R5761436a285f4de1"/>
    <x:sheet xmlns:r="http://schemas.openxmlformats.org/officeDocument/2006/relationships" name="Ensaios" sheetId="6" r:id="Ra8c05f858bdb4c82"/>
    <x:sheet xmlns:r="http://schemas.openxmlformats.org/officeDocument/2006/relationships" name="Planejamento" sheetId="7" r:id="R0eb0b2ac47544f54"/>
    <x:sheet xmlns:r="http://schemas.openxmlformats.org/officeDocument/2006/relationships" name="Atividades" sheetId="8" r:id="Ra751ef9b57b9410e"/>
    <x:sheet xmlns:r="http://schemas.openxmlformats.org/officeDocument/2006/relationships" name="Configurações" sheetId="9" r:id="R312303da7add4dab"/>
    <x:sheet xmlns:r="http://schemas.openxmlformats.org/officeDocument/2006/relationships" name="Pesos Qualidade" sheetId="10" r:id="R69d3d9df9b2e4e46"/>
  </x:sheets>
</x:workbook>
</file>

<file path=xl/sharedStrings.xml><?xml version="1.0" encoding="utf-8"?>
<x:sst xmlns:x="http://schemas.openxmlformats.org/spreadsheetml/2006/main">
  <x:si>
    <x:t xml:space="preserve">YEAR</x:t>
  </x:si>
  <x:si>
    <x:t xml:space="preserve">Annual</x:t>
  </x:si>
  <x:si>
    <x:t xml:space="preserve">Change the year in the yellow control. Dates recalculate automatically; add deadlines or milestones only in the yellow note rows.</x:t>
  </x:si>
  <x:si>
    <x:t xml:space="preserve">Q1</x:t>
  </x:si>
  <x:si>
    <x:t xml:space="preserve">Sun</x:t>
  </x:si>
  <x:si>
    <x:t xml:space="preserve">Mon</x:t>
  </x:si>
  <x:si>
    <x:t xml:space="preserve">Tue</x:t>
  </x:si>
  <x:si>
    <x:t xml:space="preserve">Wed</x:t>
  </x:si>
  <x:si>
    <x:t xml:space="preserve">Thu</x:t>
  </x:si>
  <x:si>
    <x:t xml:space="preserve">Fri</x:t>
  </x:si>
  <x:si>
    <x:t xml:space="preserve">Sat</x:t>
  </x:si>
  <x:si>
    <x:t xml:space="preserve">Q2</x:t>
  </x:si>
  <x:si>
    <x:t xml:space="preserve">Q3</x:t>
  </x:si>
  <x:si>
    <x:t xml:space="preserve">Q4</x:t>
  </x:si>
  <x:si>
    <x:t xml:space="preserve">Editable notes</x:t>
  </x:si>
  <x:si>
    <x:t xml:space="preserve">Weekend</x:t>
  </x:si>
  <x:si>
    <x:t xml:space="preserve">Today</x:t>
  </x:si>
  <x:si>
    <x:t xml:space="preserve">Dates recalculate; notes remain editable.</x:t>
  </x:si>
  <x:si>
    <x:t xml:space="preserve">Monthly Operating Calendar</x:t>
  </x:si>
  <x:si>
    <x:t xml:space="preserve">MONTH</x:t>
  </x:si>
  <x:si>
    <x:t xml:space="preserve">Monthly</x:t>
  </x:si>
  <x:si>
    <x:t xml:space="preserve">June</x:t>
  </x:si>
  <x:si>
    <x:t xml:space="preserve">Choose a month above. Edit the synthetic recurring schedule below: BD+ counts business days from month start, BD- counts backward from month end, Day uses a calendar day, and Override sets a one-time date.</x:t>
  </x:si>
  <x:si>
    <x:t xml:space="preserve">Accounting</x:t>
  </x:si>
  <x:si>
    <x:t xml:space="preserve">Close</x:t>
  </x:si>
  <x:si>
    <x:t xml:space="preserve">Planning</x:t>
  </x:si>
  <x:si>
    <x:t xml:space="preserve">Reporting</x:t>
  </x:si>
  <x:si>
    <x:t xml:space="preserve">Review</x:t>
  </x:si>
  <x:si>
    <x:t xml:space="preserve">Operations</x:t>
  </x:si>
  <x:si>
    <x:t xml:space="preserve">Sunday</x:t>
  </x:si>
  <x:si>
    <x:t xml:space="preserve">Monday</x:t>
  </x:si>
  <x:si>
    <x:t xml:space="preserve">Tuesday</x:t>
  </x:si>
  <x:si>
    <x:t xml:space="preserve">Wednesday</x:t>
  </x:si>
  <x:si>
    <x:t xml:space="preserve">Thursday</x:t>
  </x:si>
  <x:si>
    <x:t xml:space="preserve">Friday</x:t>
  </x:si>
  <x:si>
    <x:t xml:space="preserve">Saturday</x:t>
  </x:si>
  <x:si>
    <x:t xml:space="preserve">Four event slots are available per date. Role-based owners and examples are synthetic; replace them with your operating cadence.</x:t>
  </x:si>
  <x:si>
    <x:t xml:space="preserve">RECURRING MONTHLY OPERATIONS — EDITABLE SYNTHETIC STARTER SCHEDULE</x:t>
  </x:si>
  <x:si>
    <x:t xml:space="preserve">Rule</x:t>
  </x:si>
  <x:si>
    <x:t xml:space="preserve">Offset</x:t>
  </x:si>
  <x:si>
    <x:t xml:space="preserve">Category</x:t>
  </x:si>
  <x:si>
    <x:t xml:space="preserve">Activity</x:t>
  </x:si>
  <x:si>
    <x:t xml:space="preserve">Owner</x:t>
  </x:si>
  <x:si>
    <x:t xml:space="preserve">Time</x:t>
  </x:si>
  <x:si>
    <x:t xml:space="preserve">Status</x:t>
  </x:si>
  <x:si>
    <x:t xml:space="preserve">Override</x:t>
  </x:si>
  <x:si>
    <x:t xml:space="preserve">Due Date</x:t>
  </x:si>
  <x:si>
    <x:t xml:space="preserve">Slot</x:t>
  </x:si>
  <x:si>
    <x:t xml:space="preserve">Key</x:t>
  </x:si>
  <x:si>
    <x:t xml:space="preserve">BD+</x:t>
  </x:si>
  <x:si>
    <x:t xml:space="preserve">Prior-month data cutoff and close kickoff</x:t>
  </x:si>
  <x:si>
    <x:t xml:space="preserve">9:00 AM</x:t>
  </x:si>
  <x:si>
    <x:t xml:space="preserve">Planned</x:t>
  </x:si>
  <x:si>
    <x:t xml:space="preserve">Accruals and journal entries due</x:t>
  </x:si>
  <x:si>
    <x:t xml:space="preserve">3:00 PM</x:t>
  </x:si>
  <x:si>
    <x:t xml:space="preserve">Preliminary books closed</x:t>
  </x:si>
  <x:si>
    <x:t xml:space="preserve">Controller</x:t>
  </x:si>
  <x:si>
    <x:t xml:space="preserve">5:00 PM</x:t>
  </x:si>
  <x:si>
    <x:t xml:space="preserve">Flash results and first variance readout</x:t>
  </x:si>
  <x:si>
    <x:t xml:space="preserve">FP&amp;A</x:t>
  </x:si>
  <x:si>
    <x:t xml:space="preserve">12:00 PM</x:t>
  </x:si>
  <x:si>
    <x:t xml:space="preserve">Close and variance review</x:t>
  </x:si>
  <x:si>
    <x:t xml:space="preserve">Finance Leadership</x:t>
  </x:si>
  <x:si>
    <x:t xml:space="preserve">2:00 PM</x:t>
  </x:si>
  <x:si>
    <x:t xml:space="preserve">Forecast inputs open</x:t>
  </x:si>
  <x:si>
    <x:t xml:space="preserve">Department forecast submissions due</x:t>
  </x:si>
  <x:si>
    <x:t xml:space="preserve">Business Partners</x:t>
  </x:si>
  <x:si>
    <x:t xml:space="preserve">Day</x:t>
  </x:si>
  <x:si>
    <x:t xml:space="preserve">Forecast consolidation</x:t>
  </x:si>
  <x:si>
    <x:t xml:space="preserve">Forecast challenge session</x:t>
  </x:si>
  <x:si>
    <x:t xml:space="preserve">Management reporting draft</x:t>
  </x:si>
  <x:si>
    <x:t xml:space="preserve">KPI commentary due</x:t>
  </x:si>
  <x:si>
    <x:t xml:space="preserve">Metric Owners</x:t>
  </x:si>
  <x:si>
    <x:t xml:space="preserve">Monthly operating review</x:t>
  </x:si>
  <x:si>
    <x:t xml:space="preserve">Leadership</x:t>
  </x:si>
  <x:si>
    <x:t xml:space="preserve">10:00 AM</x:t>
  </x:si>
  <x:si>
    <x:t xml:space="preserve">BD-</x:t>
  </x:si>
  <x:si>
    <x:t xml:space="preserve">Next-month assumptions finalized</x:t>
  </x:si>
  <x:si>
    <x:t xml:space="preserve">Next-month readiness check</x:t>
  </x:si>
  <x:si>
    <x:t xml:space="preserve">Finance Operations</x:t>
  </x:si>
  <x:si>
    <x:t xml:space="preserve">4:00 PM</x:t>
  </x:si>
</x:sst>
</file>

<file path=xl/styles.xml><?xml version="1.0" encoding="utf-8"?>
<x:styleSheet xmlns:x="http://schemas.openxmlformats.org/spreadsheetml/2006/main">
  <x:numFmts count="5">
    <x:numFmt numFmtId="164" formatCode="mmmm"/>
    <x:numFmt numFmtId="165" formatCode="d"/>
    <x:numFmt numFmtId="166" formatCode="mmm\ d\,\ yyyy"/>
    <x:numFmt numFmtId="200" formatCode="yyyy-mm-dd"/>
    <x:numFmt numFmtId="201" formatCode="0&quot;%&quot;"/>
  </x:numFmts>
  <x:fonts count="37">
    <x:font>
      <x:sz val="11"/>
      <x:color rgb="FF000000"/>
      <x:name val="Aptos Narrow"/>
    </x:font>
    <x:font>
      <x:sz val="11"/>
      <x:color theme="1"/>
      <x:name val="Arial"/>
    </x:font>
    <x:font>
      <x:b/>
      <x:sz val="14"/>
      <x:color rgb="FFFFFFFF"/>
      <x:name val="Arial"/>
    </x:font>
    <x:font>
      <x:sz val="11"/>
      <x:name val="Aptos Narrow"/>
    </x:font>
    <x:font>
      <x:b/>
      <x:sz val="9"/>
      <x:color rgb="FFFFFFFF"/>
      <x:name val="Arial"/>
    </x:font>
    <x:font>
      <x:i/>
      <x:sz val="8"/>
      <x:color rgb="FF5B6570"/>
      <x:name val="Arial"/>
    </x:font>
    <x:font>
      <x:b/>
      <x:sz val="8"/>
      <x:color rgb="FFFFFFFF"/>
      <x:name val="Arial"/>
    </x:font>
    <x:font>
      <x:b/>
      <x:sz val="10"/>
      <x:color rgb="FFFFFFFF"/>
      <x:name val="Arial"/>
    </x:font>
    <x:font>
      <x:b/>
      <x:sz val="8"/>
      <x:color rgb="FF5A2A00"/>
      <x:name val="Arial"/>
    </x:font>
    <x:font>
      <x:b/>
      <x:sz val="8"/>
      <x:color rgb="FF17212B"/>
      <x:name val="Arial"/>
    </x:font>
    <x:font>
      <x:sz val="7"/>
      <x:color rgb="FF7A5A00"/>
      <x:name val="Arial"/>
    </x:font>
    <x:font>
      <x:b/>
      <x:sz val="8"/>
      <x:color rgb="FF7A5A00"/>
      <x:name val="Arial"/>
    </x:font>
    <x:font>
      <x:b/>
      <x:sz val="8"/>
      <x:color rgb="FF25313C"/>
      <x:name val="Arial"/>
    </x:font>
    <x:font>
      <x:b/>
      <x:sz val="8"/>
      <x:color rgb="FF174A7E"/>
      <x:name val="Arial"/>
    </x:font>
    <x:font>
      <x:sz val="8"/>
      <x:color rgb="FF000000"/>
      <x:name val="Arial"/>
    </x:font>
    <x:font>
      <x:b/>
      <x:sz val="11"/>
      <x:color rgb="FF0000FF"/>
      <x:name val="Arial"/>
    </x:font>
    <x:font>
      <x:b/>
      <x:sz val="11"/>
      <x:color rgb="FF008000"/>
      <x:name val="Arial"/>
    </x:font>
    <x:font>
      <x:b/>
      <x:sz val="8"/>
      <x:color rgb="FF24557A"/>
      <x:name val="Arial"/>
    </x:font>
    <x:font>
      <x:b/>
      <x:sz val="8"/>
      <x:color rgb="FF9C2F27"/>
      <x:name val="Arial"/>
    </x:font>
    <x:font>
      <x:b/>
      <x:sz val="8"/>
      <x:color rgb="FF765800"/>
      <x:name val="Arial"/>
    </x:font>
    <x:font>
      <x:b/>
      <x:sz val="8"/>
      <x:color rgb="FF2E6B38"/>
      <x:name val="Arial"/>
    </x:font>
    <x:font>
      <x:b/>
      <x:sz val="8"/>
      <x:color rgb="FF68407A"/>
      <x:name val="Arial"/>
    </x:font>
    <x:font>
      <x:b/>
      <x:sz val="8"/>
      <x:color rgb="FF3F4B57"/>
      <x:name val="Arial"/>
    </x:font>
    <x:font>
      <x:b/>
      <x:sz val="13"/>
      <x:color rgb="FFFFFFFF"/>
      <x:name val="Arial"/>
    </x:font>
    <x:font>
      <x:b/>
      <x:sz val="9"/>
      <x:color rgb="FF25313C"/>
      <x:name val="Arial"/>
    </x:font>
    <x:font>
      <x:b/>
      <x:sz val="9"/>
      <x:color rgb="FF17212B"/>
      <x:name val="Arial"/>
    </x:font>
    <x:font>
      <x:sz val="7"/>
      <x:color rgb="FF17212B"/>
      <x:name val="Arial"/>
    </x:font>
    <x:font>
      <x:b/>
      <x:sz val="8"/>
      <x:color rgb="FF2E7D32"/>
      <x:name val="Arial"/>
    </x:font>
    <x:font>
      <x:sz val="8"/>
      <x:color rgb="FF0000FF"/>
      <x:name val="Arial"/>
    </x:font>
    <x:font>
      <x:b/>
      <x:sz val="16"/>
      <x:color rgb="FF0432FF"/>
      <x:name val="Arial"/>
    </x:font>
    <x:font>
      <x:i/>
      <x:sz val="10"/>
      <x:color rgb="FFFFF0E4"/>
      <x:name val="Arial"/>
    </x:font>
    <x:font>
      <x:i/>
      <x:sz val="11"/>
      <x:name val="Aptos Narrow"/>
    </x:font>
    <x:font>
      <x:b/>
      <x:sz val="18"/>
      <x:color rgb="FFFFFFFF"/>
      <x:name val="Aptos Narrow"/>
    </x:font>
    <x:font>
      <x:b/>
      <x:sz val="11"/>
      <x:color rgb="FF174B38"/>
      <x:name val="Aptos Narrow"/>
    </x:font>
    <x:font>
      <x:b/>
      <x:sz val="11"/>
      <x:color rgb="FF17382B"/>
      <x:name val="Aptos Narrow"/>
    </x:font>
    <x:font>
      <x:b/>
      <x:sz val="16"/>
      <x:color rgb="FFFFFFFF"/>
      <x:name val="Aptos Narrow"/>
    </x:font>
    <x:font>
      <x:sz val="11"/>
      <x:color rgb="FF263B31"/>
      <x:name val="Aptos Narrow"/>
    </x:font>
  </x:fonts>
  <x:fills count="26">
    <x:fill>
      <x:patternFill patternType="none"/>
    </x:fill>
    <x:fill>
      <x:patternFill patternType="gray125"/>
    </x:fill>
    <x:fill>
      <x:patternFill patternType="solid">
        <x:fgColor rgb="FFFF6B00"/>
      </x:patternFill>
    </x:fill>
    <x:fill>
      <x:patternFill patternType="solid">
        <x:fgColor rgb="FFC84E00"/>
      </x:patternFill>
    </x:fill>
    <x:fill>
      <x:patternFill patternType="solid">
        <x:fgColor rgb="FFFFF2CC"/>
      </x:patternFill>
    </x:fill>
    <x:fill>
      <x:patternFill patternType="solid">
        <x:fgColor rgb="FFF3F5F7"/>
      </x:patternFill>
    </x:fill>
    <x:fill>
      <x:patternFill patternType="solid">
        <x:fgColor rgb="FFFFF0E4"/>
      </x:patternFill>
    </x:fill>
    <x:fill>
      <x:patternFill patternType="solid">
        <x:fgColor rgb="FFE7EBEF"/>
      </x:patternFill>
    </x:fill>
    <x:fill>
      <x:patternFill patternType="solid">
        <x:fgColor rgb="FFFFF8F2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E8F1F8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E8F5E9"/>
      </x:patternFill>
    </x:fill>
    <x:fill>
      <x:patternFill patternType="solid">
        <x:fgColor rgb="FFF1E8F7"/>
      </x:patternFill>
    </x:fill>
    <x:fill>
      <x:patternFill patternType="solid">
        <x:fgColor rgb="FFECEFF3"/>
      </x:patternFill>
    </x:fill>
    <x:fill>
      <x:patternFill patternType="solid">
        <x:fgColor rgb="FFF3F5F7"/>
      </x:patternFill>
    </x:fill>
    <x:fill>
      <x:patternFill patternType="solid">
        <x:fgColor rgb="FFC94E00"/>
      </x:patternFill>
    </x:fill>
    <x:fill>
      <x:patternFill patternType="solid">
        <x:fgColor rgb="FFC94E00"/>
      </x:patternFill>
    </x:fill>
    <x:fill>
      <x:patternFill patternType="solid">
        <x:fgColor rgb="FFEE640B"/>
      </x:patternFill>
    </x:fill>
    <x:fill>
      <x:patternFill patternType="solid">
        <x:fgColor rgb="FF174B38"/>
      </x:patternFill>
    </x:fill>
    <x:fill>
      <x:patternFill patternType="solid">
        <x:fgColor rgb="FFEAF1E8"/>
      </x:patternFill>
    </x:fill>
    <x:fill>
      <x:patternFill patternType="solid">
        <x:fgColor rgb="FFD9A441"/>
      </x:patternFill>
    </x:fill>
    <x:fill>
      <x:patternFill patternType="solid">
        <x:fgColor rgb="FFFFFFFF"/>
      </x:patternFill>
    </x:fill>
  </x:fills>
  <x:borders count="50">
    <x:border/>
    <x:border/>
    <x:border/>
    <x:border/>
    <x:border>
      <x:left style="thin">
        <x:color rgb="FFC84E00"/>
      </x:left>
      <x:bottom style="thin">
        <x:color rgb="FFC84E00"/>
      </x:bottom>
    </x:border>
    <x:border>
      <x:bottom style="thin">
        <x:color rgb="FFC84E00"/>
      </x:bottom>
    </x:border>
    <x:border>
      <x:right style="thin">
        <x:color rgb="FFC84E00"/>
      </x:right>
      <x:bottom style="thin">
        <x:color rgb="FFC84E00"/>
      </x:bottom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C84E00"/>
      </x:left>
      <x:bottom style="thin">
        <x:color rgb="FFD6C26E"/>
      </x:bottom>
    </x:border>
    <x:border>
      <x:left style="thin">
        <x:color theme="0" tint="-0.04999"/>
      </x:left>
      <x:right style="thin">
        <x:color theme="0" tint="-0.04999"/>
      </x:right>
      <x:top style="thin">
        <x:color theme="0" tint="-0.04999"/>
      </x:top>
    </x:border>
    <x:border>
      <x:left style="thin">
        <x:color theme="0" tint="-0.04999"/>
      </x:left>
      <x:right style="thin">
        <x:color theme="0" tint="-0.04999"/>
      </x:right>
    </x:border>
    <x:border>
      <x:left style="thin">
        <x:color theme="0" tint="-0.04999"/>
      </x:left>
      <x:right style="thin">
        <x:color theme="0" tint="-0.04999"/>
      </x:right>
      <x:bottom style="thin">
        <x:color theme="0" tint="-0.04999"/>
      </x:bottom>
    </x:border>
    <x:border>
      <x:left style="thin">
        <x:color rgb="FFC94E00"/>
      </x:left>
      <x:right style="thin">
        <x:color theme="0" tint="-0.04999"/>
      </x:right>
      <x:top style="thin">
        <x:color rgb="FFC94E00"/>
      </x:top>
    </x:border>
    <x:border>
      <x:top style="thin">
        <x:color rgb="FFC94E00"/>
      </x:top>
    </x:border>
    <x:border>
      <x:left style="thin">
        <x:color rgb="FFC84E00"/>
      </x:left>
      <x:top style="thin">
        <x:color rgb="FFC94E00"/>
      </x:top>
    </x:border>
    <x:border>
      <x:right style="thin">
        <x:color rgb="FFC84E00"/>
      </x:right>
      <x:top style="thin">
        <x:color rgb="FFC94E00"/>
      </x:top>
    </x:border>
    <x:border>
      <x:right style="thin">
        <x:color rgb="FFC94E00"/>
      </x:right>
      <x:top style="thin">
        <x:color rgb="FFC94E00"/>
      </x:top>
    </x:border>
    <x:border>
      <x:left style="thin">
        <x:color rgb="FFC94E00"/>
      </x:left>
      <x:right style="thin">
        <x:color theme="0" tint="-0.04999"/>
      </x:right>
    </x:border>
    <x:border>
      <x:right style="thin">
        <x:color rgb="FFC94E00"/>
      </x:right>
      <x:bottom style="thin">
        <x:color rgb="FFD6C26E"/>
      </x:bottom>
    </x:border>
    <x:border>
      <x:left style="thin">
        <x:color rgb="FFC94E00"/>
      </x:left>
      <x:right style="thin">
        <x:color theme="0" tint="-0.04999"/>
      </x:right>
      <x:bottom style="thin">
        <x:color rgb="FFC94E00"/>
      </x:bottom>
    </x:border>
    <x:border>
      <x:bottom style="thin">
        <x:color rgb="FFC94E00"/>
      </x:bottom>
    </x:border>
    <x:border>
      <x:right style="thin">
        <x:color rgb="FFC94E00"/>
      </x:right>
      <x:bottom style="thin">
        <x:color rgb="FFC94E00"/>
      </x:bottom>
    </x:border>
    <x:border>
      <x:left style="thin">
        <x:color rgb="FFC94E00"/>
      </x:left>
      <x:top style="thin">
        <x:color rgb="FFC94E00"/>
      </x:top>
      <x:bottom style="thin">
        <x:color rgb="FFD9E0E6"/>
      </x:bottom>
    </x:border>
    <x:border>
      <x:top style="thin">
        <x:color rgb="FFC94E00"/>
      </x:top>
      <x:bottom style="thin">
        <x:color rgb="FFD9E0E6"/>
      </x:bottom>
    </x:border>
    <x:border>
      <x:right style="thin">
        <x:color rgb="FFC94E00"/>
      </x:right>
      <x:top style="thin">
        <x:color rgb="FFC94E00"/>
      </x:top>
      <x:bottom style="thin">
        <x:color rgb="FFD9E0E6"/>
      </x:bottom>
    </x:border>
    <x:border>
      <x:left style="thin">
        <x:color rgb="FFC94E00"/>
      </x:left>
      <x:top style="thin">
        <x:color rgb="FFD6C26E"/>
      </x:top>
      <x:bottom style="thin">
        <x:color rgb="FFC94E00"/>
      </x:bottom>
    </x:border>
    <x:border>
      <x:top style="thin">
        <x:color rgb="FFD6C26E"/>
      </x:top>
      <x:bottom style="thin">
        <x:color rgb="FFC94E00"/>
      </x:bottom>
    </x:border>
    <x:border>
      <x:right style="thin">
        <x:color rgb="FFC94E00"/>
      </x:right>
      <x:top style="thin">
        <x:color rgb="FFD6C26E"/>
      </x:top>
      <x:bottom style="thin">
        <x:color rgb="FFC94E00"/>
      </x:bottom>
    </x:border>
    <x:border>
      <x:left style="thin">
        <x:color rgb="FFC94E00"/>
      </x:left>
      <x:top style="thin">
        <x:color rgb="FFD9E0E6"/>
      </x:top>
      <x:bottom style="thin">
        <x:color rgb="FFC94E00"/>
      </x:bottom>
    </x:border>
    <x:border>
      <x:top style="thin">
        <x:color rgb="FFD9E0E6"/>
      </x:top>
      <x:bottom style="thin">
        <x:color rgb="FFC94E00"/>
      </x:bottom>
    </x:border>
    <x:border>
      <x:right style="thin">
        <x:color rgb="FFC94E00"/>
      </x:right>
      <x:top style="thin">
        <x:color rgb="FFD9E0E6"/>
      </x:top>
      <x:bottom style="thin">
        <x:color rgb="FFC94E00"/>
      </x:bottom>
    </x:border>
    <x:border>
      <x:left style="thin">
        <x:color rgb="FFC94E00"/>
      </x:left>
      <x:top style="thin">
        <x:color rgb="FFC94E00"/>
      </x:top>
    </x:border>
    <x:border>
      <x:left style="thin">
        <x:color rgb="FFC94E00"/>
      </x:left>
    </x:border>
    <x:border>
      <x:left style="thin">
        <x:color rgb="FFC94E00"/>
      </x:left>
      <x:bottom style="thin">
        <x:color rgb="FFC94E00"/>
      </x:bottom>
    </x:border>
    <x:border>
      <x:right style="thin">
        <x:color rgb="FFD8DED6"/>
      </x:right>
      <x:bottom style="thin">
        <x:color rgb="FFD8DED6"/>
      </x:bottom>
    </x:border>
    <x:border>
      <x:left style="thin">
        <x:color rgb="FFD8DED6"/>
      </x:left>
      <x:right style="thin">
        <x:color rgb="FFD8DED6"/>
      </x:right>
      <x:bottom style="thin">
        <x:color rgb="FFD8DED6"/>
      </x:bottom>
    </x:border>
    <x:border>
      <x:left style="thin">
        <x:color rgb="FFD8DED6"/>
      </x:left>
      <x:bottom style="thin">
        <x:color rgb="FFD8DED6"/>
      </x:bottom>
    </x:border>
    <x:border>
      <x:right style="thin">
        <x:color rgb="FFD8DED6"/>
      </x:right>
      <x:top style="thin">
        <x:color rgb="FFD8DED6"/>
      </x:top>
      <x:bottom style="thin">
        <x:color rgb="FFD8DED6"/>
      </x:bottom>
    </x:border>
    <x:border>
      <x:left style="thin">
        <x:color rgb="FFD8DED6"/>
      </x:left>
      <x:right style="thin">
        <x:color rgb="FFD8DED6"/>
      </x:right>
      <x:top style="thin">
        <x:color rgb="FFD8DED6"/>
      </x:top>
      <x:bottom style="thin">
        <x:color rgb="FFD8DED6"/>
      </x:bottom>
    </x:border>
    <x:border>
      <x:left style="thin">
        <x:color rgb="FFD8DED6"/>
      </x:left>
      <x:top style="thin">
        <x:color rgb="FFD8DED6"/>
      </x:top>
      <x:bottom style="thin">
        <x:color rgb="FFD8DED6"/>
      </x:bottom>
    </x:border>
    <x:border>
      <x:right style="thin">
        <x:color rgb="FFD8DED6"/>
      </x:right>
      <x:top style="thin">
        <x:color rgb="FFD8DED6"/>
      </x:top>
    </x:border>
    <x:border>
      <x:left style="thin">
        <x:color rgb="FFD8DED6"/>
      </x:left>
      <x:right style="thin">
        <x:color rgb="FFD8DED6"/>
      </x:right>
      <x:top style="thin">
        <x:color rgb="FFD8DED6"/>
      </x:top>
    </x:border>
    <x:border>
      <x:left style="thin">
        <x:color rgb="FFD8DED6"/>
      </x:left>
      <x:top style="thin">
        <x:color rgb="FFD8DED6"/>
      </x:top>
    </x:border>
    <x:border>
      <x:top style="thin">
        <x:color rgb="FFD8DED6"/>
      </x:top>
      <x:bottom style="thin">
        <x:color rgb="FFD8DED6"/>
      </x:bottom>
    </x:border>
    <x:border>
      <x:bottom style="thin">
        <x:color rgb="FFE6EAE4"/>
      </x:bottom>
    </x:border>
    <x:border>
      <x:top style="thin">
        <x:color rgb="FFE6EAE4"/>
      </x:top>
      <x:bottom style="thin">
        <x:color rgb="FFE6EAE4"/>
      </x:bottom>
    </x:border>
    <x:border>
      <x:top style="thin">
        <x:color rgb="FFE6EAE4"/>
      </x:top>
    </x:border>
  </x:borders>
  <x:cellStyleXfs count="1">
    <x:xf numFmtId="0" fontId="0" fillId="0" borderId="0"/>
  </x:cellStyleXfs>
  <x:cellXfs count="134">
    <x:xf numFmtId="0" fontId="0" fillId="0" borderId="0" xfId="0"/>
    <x:xf numFmtId="0" fontId="1" fillId="0" borderId="0" xfId="0" applyFont="1"/>
    <x:xf numFmtId="0" fontId="8" fillId="6" borderId="10" xfId="0" applyFont="1" applyFill="1" applyBorder="1" applyAlignment="1">
      <x:alignment horizontal="center" vertical="center"/>
    </x:xf>
    <x:xf numFmtId="165" fontId="9" fillId="7" borderId="10" xfId="0" applyNumberFormat="1" applyFont="1" applyFill="1" applyBorder="1" applyAlignment="1">
      <x:alignment horizontal="left" vertical="top"/>
    </x:xf>
    <x:xf numFmtId="165" fontId="9" fillId="8" borderId="10" xfId="0" applyNumberFormat="1" applyFont="1" applyFill="1" applyBorder="1" applyAlignment="1">
      <x:alignment horizontal="left" vertical="top"/>
    </x:xf>
    <x:xf numFmtId="0" fontId="10" fillId="4" borderId="10" xfId="0" applyFont="1" applyFill="1" applyBorder="1" applyAlignment="1">
      <x:alignment horizontal="left" vertical="top" wrapText="1"/>
    </x:xf>
    <x:xf numFmtId="0" fontId="8" fillId="6" borderId="10" xfId="0" applyFont="1" applyFill="1" applyBorder="1" applyAlignment="1">
      <x:alignment horizontal="center" vertical="center" wrapText="1"/>
    </x:xf>
    <x:xf numFmtId="0" fontId="28" fillId="10" borderId="10" xfId="0" applyFont="1" applyFill="1" applyBorder="1" applyAlignment="1">
      <x:alignment horizontal="left" vertical="center" wrapText="1"/>
    </x:xf>
    <x:xf numFmtId="0" fontId="28" fillId="10" borderId="10" xfId="0" applyFont="1" applyFill="1" applyBorder="1" applyAlignment="1">
      <x:alignment horizontal="center" vertical="center" wrapText="1"/>
    </x:xf>
    <x:xf numFmtId="166" fontId="28" fillId="10" borderId="10" xfId="0" applyNumberFormat="1" applyFont="1" applyFill="1" applyBorder="1" applyAlignment="1">
      <x:alignment horizontal="left" vertical="center" wrapText="1"/>
    </x:xf>
    <x:xf numFmtId="166" fontId="14" fillId="10" borderId="10" xfId="0" applyNumberFormat="1" applyFont="1" applyFill="1" applyBorder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28" fillId="8" borderId="10" xfId="0" applyFont="1" applyFill="1" applyBorder="1" applyAlignment="1">
      <x:alignment horizontal="left" vertical="center" wrapText="1"/>
    </x:xf>
    <x:xf numFmtId="0" fontId="28" fillId="8" borderId="10" xfId="0" applyFont="1" applyFill="1" applyBorder="1" applyAlignment="1">
      <x:alignment horizontal="center" vertical="center" wrapText="1"/>
    </x:xf>
    <x:xf numFmtId="166" fontId="28" fillId="8" borderId="10" xfId="0" applyNumberFormat="1" applyFont="1" applyFill="1" applyBorder="1" applyAlignment="1">
      <x:alignment horizontal="left" vertical="center" wrapText="1"/>
    </x:xf>
    <x:xf numFmtId="166" fontId="14" fillId="8" borderId="10" xfId="0" applyNumberFormat="1" applyFont="1" applyFill="1" applyBorder="1" applyAlignment="1">
      <x:alignment horizontal="left" vertical="center" wrapText="1"/>
    </x:xf>
    <x:xf numFmtId="0" fontId="14" fillId="8" borderId="10" xfId="0" applyFont="1" applyFill="1" applyBorder="1" applyAlignment="1">
      <x:alignment horizontal="left" vertical="center" wrapText="1"/>
    </x:xf>
    <x:xf numFmtId="0" fontId="8" fillId="6" borderId="9" xfId="0" applyFont="1" applyFill="1" applyBorder="1" applyAlignment="1">
      <x:alignment horizontal="center" vertical="center"/>
    </x:xf>
    <x:xf numFmtId="165" fontId="9" fillId="7" borderId="9" xfId="0" applyNumberFormat="1" applyFont="1" applyFill="1" applyBorder="1" applyAlignment="1">
      <x:alignment horizontal="left" vertical="top"/>
    </x:xf>
    <x:xf numFmtId="0" fontId="10" fillId="4" borderId="9" xfId="0" applyFont="1" applyFill="1" applyBorder="1" applyAlignment="1">
      <x:alignment horizontal="left" vertical="top" wrapText="1"/>
    </x:xf>
    <x:xf numFmtId="0" fontId="1" fillId="21" borderId="15" xfId="0" applyFont="1" applyFill="1" applyBorder="1"/>
    <x:xf numFmtId="0" fontId="1" fillId="21" borderId="20" xfId="0" applyFont="1" applyFill="1" applyBorder="1"/>
    <x:xf numFmtId="0" fontId="1" fillId="21" borderId="22" xfId="0" applyFont="1" applyFill="1" applyBorder="1"/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14" fillId="0" borderId="0" xfId="0" applyFont="1" applyAlignment="1">
      <x:alignment vertical="center"/>
    </x:xf>
    <x:xf numFmtId="0" fontId="1" fillId="18" borderId="16" xfId="0" applyFont="1" applyFill="1" applyBorder="1"/>
    <x:xf numFmtId="0" fontId="1" fillId="18" borderId="3" xfId="0" applyFont="1" applyFill="1" applyBorder="1"/>
    <x:xf numFmtId="0" fontId="1" fillId="18" borderId="16" xfId="0" applyFont="1" applyFill="1" applyBorder="1" applyAlignment="1">
      <x:alignment vertical="center"/>
    </x:xf>
    <x:xf numFmtId="0" fontId="1" fillId="18" borderId="3" xfId="0" applyFont="1" applyFill="1" applyBorder="1" applyAlignment="1">
      <x:alignment vertical="center"/>
    </x:xf>
    <x:xf numFmtId="0" fontId="4" fillId="3" borderId="17" xfId="0" applyFont="1" applyFill="1" applyBorder="1" applyAlignment="1">
      <x:alignment horizontal="center" vertical="center"/>
    </x:xf>
    <x:xf numFmtId="0" fontId="4" fillId="3" borderId="16" xfId="0" applyFont="1" applyFill="1" applyBorder="1" applyAlignment="1">
      <x:alignment horizontal="center" vertical="center"/>
    </x:xf>
    <x:xf numFmtId="0" fontId="4" fillId="3" borderId="18" xfId="0" applyFont="1" applyFill="1" applyBorder="1" applyAlignment="1">
      <x:alignment horizontal="center" vertical="center"/>
    </x:xf>
    <x:xf numFmtId="0" fontId="4" fillId="3" borderId="4" xfId="0" applyFont="1" applyFill="1" applyBorder="1" applyAlignment="1">
      <x:alignment horizontal="center" vertical="center"/>
    </x:xf>
    <x:xf numFmtId="0" fontId="4" fillId="3" borderId="5" xfId="0" applyFont="1" applyFill="1" applyBorder="1" applyAlignment="1">
      <x:alignment horizontal="center" vertical="center"/>
    </x:xf>
    <x:xf numFmtId="0" fontId="4" fillId="3" borderId="6" xfId="0" applyFont="1" applyFill="1" applyBorder="1" applyAlignment="1">
      <x:alignment horizontal="center" vertical="center"/>
    </x:xf>
    <x:xf numFmtId="1" fontId="29" fillId="4" borderId="17" xfId="0" applyNumberFormat="1" applyFont="1" applyFill="1" applyBorder="1" applyAlignment="1">
      <x:alignment horizontal="center" vertical="center"/>
    </x:xf>
    <x:xf numFmtId="1" fontId="29" fillId="4" borderId="19" xfId="0" applyNumberFormat="1" applyFont="1" applyFill="1" applyBorder="1" applyAlignment="1">
      <x:alignment horizontal="center" vertical="center"/>
    </x:xf>
    <x:xf numFmtId="1" fontId="29" fillId="4" borderId="11" xfId="0" applyNumberFormat="1" applyFont="1" applyFill="1" applyBorder="1" applyAlignment="1">
      <x:alignment horizontal="center" vertical="center"/>
    </x:xf>
    <x:xf numFmtId="1" fontId="29" fillId="4" borderId="21" xfId="0" applyNumberFormat="1" applyFont="1" applyFill="1" applyBorder="1" applyAlignment="1">
      <x:alignment horizontal="center" vertical="center"/>
    </x:xf>
    <x:xf numFmtId="0" fontId="30" fillId="2" borderId="3" xfId="0" applyFont="1" applyFill="1" applyBorder="1" applyAlignment="1">
      <x:alignment horizontal="left" vertical="center"/>
    </x:xf>
    <x:xf numFmtId="0" fontId="5" fillId="5" borderId="23" xfId="0" applyFont="1" applyFill="1" applyBorder="1" applyAlignment="1">
      <x:alignment horizontal="left" vertical="center" wrapText="1"/>
    </x:xf>
    <x:xf numFmtId="0" fontId="5" fillId="5" borderId="24" xfId="0" applyFont="1" applyFill="1" applyBorder="1" applyAlignment="1">
      <x:alignment horizontal="left" vertical="center" wrapText="1"/>
    </x:xf>
    <x:xf numFmtId="0" fontId="6" fillId="19" borderId="12" xfId="0" applyFont="1" applyFill="1" applyBorder="1" applyAlignment="1">
      <x:alignment horizontal="center" vertical="center"/>
    </x:xf>
    <x:xf numFmtId="0" fontId="3" fillId="20" borderId="13" xfId="0" applyFont="1" applyFill="1" applyBorder="1"/>
    <x:xf numFmtId="0" fontId="3" fillId="20" borderId="14" xfId="0" applyFont="1" applyFill="1" applyBorder="1"/>
    <x:xf numFmtId="164" fontId="7" fillId="2" borderId="8" xfId="0" applyNumberFormat="1" applyFont="1" applyFill="1" applyBorder="1" applyAlignment="1">
      <x:alignment horizontal="center" vertical="center"/>
    </x:xf>
    <x:xf numFmtId="0" fontId="3" fillId="0" borderId="8" xfId="0" applyFont="1" applyBorder="1"/>
    <x:xf numFmtId="0" fontId="3" fillId="0" borderId="9" xfId="0" applyFont="1" applyBorder="1"/>
    <x:xf numFmtId="0" fontId="2" fillId="2" borderId="16" xfId="0" applyFont="1" applyFill="1" applyBorder="1" applyAlignment="1">
      <x:alignment horizontal="left" vertical="center"/>
    </x:xf>
    <x:xf numFmtId="164" fontId="7" fillId="2" borderId="7" xfId="0" applyNumberFormat="1" applyFont="1" applyFill="1" applyBorder="1" applyAlignment="1">
      <x:alignment horizontal="center" vertical="center"/>
    </x:xf>
    <x:xf numFmtId="0" fontId="11" fillId="4" borderId="7" xfId="0" applyFont="1" applyFill="1" applyBorder="1" applyAlignment="1">
      <x:alignment horizontal="center" vertical="center"/>
    </x:xf>
    <x:xf numFmtId="0" fontId="12" fillId="7" borderId="7" xfId="0" applyFont="1" applyFill="1" applyBorder="1" applyAlignment="1">
      <x:alignment horizontal="center" vertical="center"/>
    </x:xf>
    <x:xf numFmtId="0" fontId="13" fillId="9" borderId="7" xfId="0" applyFont="1" applyFill="1" applyBorder="1" applyAlignment="1">
      <x:alignment horizontal="center" vertical="center"/>
    </x:xf>
    <x:xf numFmtId="0" fontId="5" fillId="10" borderId="1" xfId="0" applyFont="1" applyFill="1" applyBorder="1" applyAlignment="1">
      <x:alignment horizontal="left" vertical="center"/>
    </x:xf>
    <x:xf numFmtId="0" fontId="3" fillId="0" borderId="2" xfId="0" applyFont="1" applyBorder="1"/>
    <x:xf numFmtId="0" fontId="3" fillId="0" borderId="3" xfId="0" applyFont="1" applyBorder="1"/>
    <x:xf numFmtId="0" fontId="26" fillId="5" borderId="7" xfId="0" applyFont="1" applyFill="1" applyBorder="1" applyAlignment="1">
      <x:alignment horizontal="left" vertical="center" wrapText="1"/>
    </x:xf>
    <x:xf numFmtId="0" fontId="3" fillId="0" borderId="8" xfId="0" applyFont="1" applyBorder="1" applyAlignment="1">
      <x:alignment vertical="center"/>
    </x:xf>
    <x:xf numFmtId="0" fontId="3" fillId="0" borderId="9" xfId="0" applyFont="1" applyBorder="1" applyAlignment="1">
      <x:alignment vertical="center"/>
    </x:xf>
    <x:xf numFmtId="0" fontId="26" fillId="8" borderId="7" xfId="0" applyFont="1" applyFill="1" applyBorder="1" applyAlignment="1">
      <x:alignment horizontal="left" vertical="center" wrapText="1"/>
    </x:xf>
    <x:xf numFmtId="0" fontId="23" fillId="3" borderId="1" xfId="0" applyFont="1" applyFill="1" applyBorder="1" applyAlignment="1">
      <x:alignment horizontal="center" vertical="center"/>
    </x:xf>
    <x:xf numFmtId="0" fontId="3" fillId="0" borderId="2" xfId="0" applyFont="1" applyBorder="1" applyAlignment="1">
      <x:alignment vertical="center"/>
    </x:xf>
    <x:xf numFmtId="0" fontId="3" fillId="0" borderId="3" xfId="0" applyFont="1" applyBorder="1" applyAlignment="1">
      <x:alignment vertical="center"/>
    </x:xf>
    <x:xf numFmtId="0" fontId="24" fillId="7" borderId="7" xfId="0" applyFont="1" applyFill="1" applyBorder="1" applyAlignment="1">
      <x:alignment horizontal="center" vertical="center"/>
    </x:xf>
    <x:xf numFmtId="0" fontId="4" fillId="2" borderId="7" xfId="0" applyFont="1" applyFill="1" applyBorder="1" applyAlignment="1">
      <x:alignment horizontal="center" vertical="center"/>
    </x:xf>
    <x:xf numFmtId="165" fontId="25" fillId="7" borderId="7" xfId="0" applyNumberFormat="1" applyFont="1" applyFill="1" applyBorder="1" applyAlignment="1">
      <x:alignment horizontal="left" vertical="center"/>
    </x:xf>
    <x:xf numFmtId="165" fontId="25" fillId="6" borderId="7" xfId="0" applyNumberFormat="1" applyFont="1" applyFill="1" applyBorder="1" applyAlignment="1">
      <x:alignment horizontal="left" vertical="center"/>
    </x:xf>
    <x:xf numFmtId="0" fontId="2" fillId="2" borderId="34" xfId="0" applyFont="1" applyFill="1" applyBorder="1" applyAlignment="1">
      <x:alignment horizontal="left" vertical="center"/>
    </x:xf>
    <x:xf numFmtId="0" fontId="3" fillId="0" borderId="16" xfId="0" applyFont="1" applyBorder="1" applyAlignment="1">
      <x:alignment vertical="center"/>
    </x:xf>
    <x:xf numFmtId="0" fontId="4" fillId="3" borderId="25" xfId="0" applyFont="1" applyFill="1" applyBorder="1" applyAlignment="1">
      <x:alignment horizontal="center" vertical="center"/>
    </x:xf>
    <x:xf numFmtId="0" fontId="3" fillId="0" borderId="26" xfId="0" applyFont="1" applyBorder="1" applyAlignment="1">
      <x:alignment vertical="center"/>
    </x:xf>
    <x:xf numFmtId="0" fontId="3" fillId="0" borderId="27" xfId="0" applyFont="1" applyBorder="1" applyAlignment="1">
      <x:alignment vertical="center"/>
    </x:xf>
    <x:xf numFmtId="0" fontId="30" fillId="2" borderId="35" xfId="0" applyFont="1" applyFill="1" applyBorder="1" applyAlignment="1">
      <x:alignment horizontal="left" vertical="center"/>
    </x:xf>
    <x:xf numFmtId="0" fontId="31" fillId="0" borderId="3" xfId="0" applyFont="1" applyBorder="1" applyAlignment="1">
      <x:alignment vertical="center"/>
    </x:xf>
    <x:xf numFmtId="0" fontId="15" fillId="4" borderId="28" xfId="0" applyFont="1" applyFill="1" applyBorder="1" applyAlignment="1">
      <x:alignment horizontal="center" vertical="center"/>
    </x:xf>
    <x:xf numFmtId="0" fontId="3" fillId="0" borderId="29" xfId="0" applyFont="1" applyBorder="1" applyAlignment="1">
      <x:alignment vertical="center"/>
    </x:xf>
    <x:xf numFmtId="0" fontId="3" fillId="0" borderId="30" xfId="0" applyFont="1" applyBorder="1" applyAlignment="1">
      <x:alignment vertical="center"/>
    </x:xf>
    <x:xf numFmtId="1" fontId="16" fillId="0" borderId="31" xfId="0" applyNumberFormat="1" applyFont="1" applyBorder="1" applyAlignment="1">
      <x:alignment horizontal="center" vertical="center"/>
    </x:xf>
    <x:xf numFmtId="0" fontId="3" fillId="0" borderId="32" xfId="0" applyFont="1" applyBorder="1" applyAlignment="1">
      <x:alignment vertical="center"/>
    </x:xf>
    <x:xf numFmtId="0" fontId="3" fillId="0" borderId="33" xfId="0" applyFont="1" applyBorder="1" applyAlignment="1">
      <x:alignment vertical="center"/>
    </x:xf>
    <x:xf numFmtId="0" fontId="5" fillId="5" borderId="36" xfId="0" applyFont="1" applyFill="1" applyBorder="1" applyAlignment="1">
      <x:alignment horizontal="left" vertical="center" wrapText="1"/>
    </x:xf>
    <x:xf numFmtId="0" fontId="3" fillId="0" borderId="23" xfId="0" applyFont="1" applyBorder="1" applyAlignment="1">
      <x:alignment vertical="center"/>
    </x:xf>
    <x:xf numFmtId="0" fontId="3" fillId="0" borderId="24" xfId="0" applyFont="1" applyBorder="1" applyAlignment="1">
      <x:alignment vertical="center"/>
    </x:xf>
    <x:xf numFmtId="0" fontId="17" fillId="12" borderId="7" xfId="0" applyFont="1" applyFill="1" applyBorder="1" applyAlignment="1">
      <x:alignment horizontal="center" vertical="center"/>
    </x:xf>
    <x:xf numFmtId="0" fontId="18" fillId="13" borderId="7" xfId="0" applyFont="1" applyFill="1" applyBorder="1" applyAlignment="1">
      <x:alignment horizontal="center" vertical="center"/>
    </x:xf>
    <x:xf numFmtId="0" fontId="19" fillId="14" borderId="7" xfId="0" applyFont="1" applyFill="1" applyBorder="1" applyAlignment="1">
      <x:alignment horizontal="center" vertical="center"/>
    </x:xf>
    <x:xf numFmtId="0" fontId="20" fillId="15" borderId="7" xfId="0" applyFont="1" applyFill="1" applyBorder="1" applyAlignment="1">
      <x:alignment horizontal="center" vertical="center"/>
    </x:xf>
    <x:xf numFmtId="0" fontId="21" fillId="16" borderId="7" xfId="0" applyFont="1" applyFill="1" applyBorder="1" applyAlignment="1">
      <x:alignment horizontal="center" vertical="center"/>
    </x:xf>
    <x:xf numFmtId="0" fontId="22" fillId="17" borderId="7" xfId="0" applyFont="1" applyFill="1" applyBorder="1" applyAlignment="1">
      <x:alignment horizontal="center" vertical="center"/>
    </x:xf>
    <x:xf numFmtId="0" fontId="28" fillId="8" borderId="7" xfId="0" applyFont="1" applyFill="1" applyBorder="1" applyAlignment="1">
      <x:alignment horizontal="left" vertical="center" wrapText="1"/>
    </x:xf>
    <x:xf numFmtId="0" fontId="28" fillId="10" borderId="7" xfId="0" applyFont="1" applyFill="1" applyBorder="1" applyAlignment="1">
      <x:alignment horizontal="left" vertical="center" wrapText="1"/>
    </x:xf>
    <x:xf numFmtId="0" fontId="8" fillId="6" borderId="7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 wrapText="1"/>
    </x:xf>
    <x:xf numFmtId="0" fontId="27" fillId="11" borderId="7" xfId="0" applyFont="1" applyFill="1" applyBorder="1" applyAlignment="1">
      <x:alignment horizontal="center" vertical="center"/>
    </x:xf>
    <x:xf numFmtId="0" fontId="7" fillId="3" borderId="1" xfId="0" applyFont="1" applyFill="1" applyBorder="1" applyAlignment="1">
      <x:alignment horizontal="left" vertical="center"/>
    </x:xf>
    <x:xf numFmtId="0" fontId="0" fillId="22" borderId="0" xfId="0" applyNumberFormat="1" applyFont="1" applyFill="1" applyBorder="1"/>
    <x:xf numFmtId="0" fontId="32" fillId="22" borderId="0" xfId="0" applyNumberFormat="1" applyFont="1" applyFill="1" applyBorder="1"/>
    <x:xf numFmtId="0" fontId="0" fillId="23" borderId="0" xfId="0" applyNumberFormat="1" applyFont="1" applyFill="1" applyBorder="1"/>
    <x:xf numFmtId="0" fontId="33" fillId="23" borderId="0" xfId="0" applyNumberFormat="1" applyFont="1" applyFill="1" applyBorder="1"/>
    <x:xf numFmtId="0" fontId="33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34" fillId="24" borderId="0" xfId="0" applyNumberFormat="1" applyFont="1" applyFill="1" applyBorder="1"/>
    <x:xf numFmtId="0" fontId="34" fillId="24" borderId="37" xfId="0" applyNumberFormat="1" applyFont="1" applyFill="1" applyBorder="1"/>
    <x:xf numFmtId="0" fontId="34" fillId="24" borderId="38" xfId="0" applyNumberFormat="1" applyFont="1" applyFill="1" applyBorder="1"/>
    <x:xf numFmtId="0" fontId="34" fillId="24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35" fillId="22" borderId="0" xfId="0" applyNumberFormat="1" applyFont="1" applyFill="1" applyBorder="1"/>
    <x:xf numFmtId="0" fontId="34" fillId="24" borderId="42" xfId="0" applyNumberFormat="1" applyFont="1" applyFill="1" applyBorder="1"/>
    <x:xf numFmtId="0" fontId="34" fillId="24" borderId="46" xfId="0" applyNumberFormat="1" applyFont="1" applyFill="1" applyBorder="1"/>
    <x:xf numFmtId="0" fontId="34" fillId="24" borderId="40" xfId="0" applyNumberFormat="1" applyFont="1" applyFill="1" applyBorder="1"/>
    <x:xf numFmtId="0" fontId="34" fillId="24" borderId="42" xfId="0" applyNumberFormat="1" applyFont="1" applyFill="1" applyBorder="1" applyAlignment="1">
      <x:alignment wrapText="1"/>
    </x:xf>
    <x:xf numFmtId="0" fontId="34" fillId="24" borderId="46" xfId="0" applyNumberFormat="1" applyFont="1" applyFill="1" applyBorder="1" applyAlignment="1">
      <x:alignment wrapText="1"/>
    </x:xf>
    <x:xf numFmtId="0" fontId="34" fillId="24" borderId="4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36" fillId="25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2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6" fillId="25" borderId="0" xfId="0" applyNumberFormat="1" applyFont="1" applyFill="1" applyBorder="1"/>
    <x:xf numFmtId="200" fontId="0" fillId="0" borderId="0" xfId="0" applyNumberFormat="1" applyFont="1" applyFill="1" applyBorder="1"/>
    <x:xf numFmtId="0" fontId="36" fillId="25" borderId="47" xfId="0" applyNumberFormat="1" applyFont="1" applyFill="1" applyBorder="1"/>
    <x:xf numFmtId="0" fontId="36" fillId="25" borderId="4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25" borderId="48" xfId="0" applyNumberFormat="1" applyFont="1" applyFill="1" applyBorder="1"/>
    <x:xf numFmtId="0" fontId="36" fillId="25" borderId="4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25" borderId="49" xfId="0" applyNumberFormat="1" applyFont="1" applyFill="1" applyBorder="1"/>
    <x:xf numFmtId="0" fontId="36" fillId="25" borderId="4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" fillId="23" borderId="0" xfId="0" applyNumberFormat="1" applyFont="1" applyFill="1" applyBorder="1" applyAlignment="1">
      <x:alignment horizontal="center"/>
    </x:xf>
    <x:xf numFmtId="201" fontId="33" fillId="2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91">
    <x:dxf>
      <x:font>
        <x:b/>
        <x:color rgb="FFB3261E"/>
        <x:name val="Arial"/>
      </x:font>
      <x:fill>
        <x:patternFill>
          <x:bgColor rgb="FFF4CCCC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color rgb="FF9AA3AB"/>
        <x:name val="Arial"/>
      </x:font>
      <x:fill>
        <x:patternFill>
          <x:bgColor rgb="FFF3F5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color rgb="FF9AA3AB"/>
        <x:name val="Arial"/>
      </x:font>
      <x:fill>
        <x:patternFill>
          <x:bgColor rgb="FFF3F5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color rgb="FF9AA3AB"/>
        <x:name val="Arial"/>
      </x:font>
      <x:fill>
        <x:patternFill>
          <x:bgColor rgb="FFF3F5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color rgb="FF9AA3AB"/>
        <x:name val="Arial"/>
      </x:font>
      <x:fill>
        <x:patternFill>
          <x:bgColor rgb="FFF3F5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color rgb="FF9AA3AB"/>
        <x:name val="Arial"/>
      </x:font>
      <x:fill>
        <x:patternFill>
          <x:bgColor rgb="FFF3F5F7"/>
        </x:patternFill>
      </x:fill>
    </x:dxf>
    <x:dxf>
      <x:font>
        <x:color rgb="FF3F4B57"/>
        <x:name val="Arial"/>
      </x:font>
      <x:fill>
        <x:patternFill>
          <x:bgColor rgb="FFECEFF3"/>
        </x:patternFill>
      </x:fill>
    </x:dxf>
    <x:dxf>
      <x:font>
        <x:color rgb="FF68407A"/>
        <x:name val="Arial"/>
      </x:font>
      <x:fill>
        <x:patternFill>
          <x:bgColor rgb="FFF1E8F7"/>
        </x:patternFill>
      </x:fill>
    </x:dxf>
    <x:dxf>
      <x:font>
        <x:color rgb="FF2E6B38"/>
        <x:name val="Arial"/>
      </x:font>
      <x:fill>
        <x:patternFill>
          <x:bgColor rgb="FFE8F5E9"/>
        </x:patternFill>
      </x:fill>
    </x:dxf>
    <x:dxf>
      <x:font>
        <x:color rgb="FF765800"/>
        <x:name val="Arial"/>
      </x:font>
      <x:fill>
        <x:patternFill>
          <x:bgColor rgb="FFFFF4CC"/>
        </x:patternFill>
      </x:fill>
    </x:dxf>
    <x:dxf>
      <x:font>
        <x:color rgb="FF9C2F27"/>
        <x:name val="Arial"/>
      </x:font>
      <x:fill>
        <x:patternFill>
          <x:bgColor rgb="FFFCE8E6"/>
        </x:patternFill>
      </x:fill>
    </x:dxf>
    <x:dxf>
      <x:font>
        <x:color rgb="FF24557A"/>
        <x:name val="Arial"/>
      </x:font>
      <x:fill>
        <x:patternFill>
          <x:bgColor rgb="FFE8F1F8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color rgb="FF9AA3AB"/>
        <x:name val="Arial"/>
      </x:font>
      <x:fill>
        <x:patternFill>
          <x:bgColor rgb="FFF3F5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  <x:dxf>
      <x:font>
        <x:b/>
        <x:color rgb="FF174A7E"/>
        <x:name val="Arial"/>
      </x:font>
      <x:fill>
        <x:patternFill>
          <x:bgColor rgb="FFDCEAF7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c57106260007464a" Type="http://schemas.openxmlformats.org/officeDocument/2006/relationships/worksheet" Target="/xl/worksheets/sheet3.xml"/><Relationship Id="R69d3d9df9b2e4e46" Type="http://schemas.openxmlformats.org/officeDocument/2006/relationships/worksheet" Target="/xl/worksheets/sheet10.xml"/><Relationship Id="R25048b817d7b44fd" Type="http://schemas.microsoft.com/office/2022/11/relationships/FeaturePropertyBag" Target="/xl/featurePropertyBag/featurePropertyBag.xml"/><Relationship Id="R312303da7add4dab" Type="http://schemas.openxmlformats.org/officeDocument/2006/relationships/worksheet" Target="/xl/worksheets/sheet9.xml"/><Relationship Id="rId3" Type="http://schemas.openxmlformats.org/officeDocument/2006/relationships/customXml" Target="../customXml/item3.xml"/><Relationship Id="Ra751ef9b57b9410e" Type="http://schemas.openxmlformats.org/officeDocument/2006/relationships/worksheet" Target="/xl/worksheets/sheet8.xml"/><Relationship Id="R0eb0b2ac47544f54" Type="http://schemas.openxmlformats.org/officeDocument/2006/relationships/worksheet" Target="/xl/worksheets/sheet7.xml"/><Relationship Id="rId2" Type="http://schemas.openxmlformats.org/officeDocument/2006/relationships/customXml" Target="../customXml/item2.xml"/><Relationship Id="Ra99f9d8765ad4c54" Type="http://schemas.openxmlformats.org/officeDocument/2006/relationships/theme" Target="/xl/theme/theme1.xml"/><Relationship Id="rId1" Type="http://schemas.openxmlformats.org/officeDocument/2006/relationships/customXml" Target="../customXml/item1.xml"/><Relationship Id="R8d9444f90f2848fe" Type="http://schemas.openxmlformats.org/officeDocument/2006/relationships/sharedStrings" Target="/xl/sharedStrings.xml"/><Relationship Id="R5fa7571fd76d49b3" Type="http://schemas.openxmlformats.org/officeDocument/2006/relationships/worksheet" Target="/xl/worksheets/sheet1.xml"/><Relationship Id="R9bc9424c46c746c6" Type="http://schemas.openxmlformats.org/officeDocument/2006/relationships/worksheet" Target="/xl/worksheets/sheet2.xml"/><Relationship Id="Rc5ae695b14ef4af8" Type="http://schemas.openxmlformats.org/officeDocument/2006/relationships/styles" Target="/xl/styles.xml"/><Relationship Id="Rc48138be36ca436d" Type="http://schemas.openxmlformats.org/officeDocument/2006/relationships/worksheet" Target="/xl/worksheets/sheet4.xml"/><Relationship Id="R5761436a285f4de1" Type="http://schemas.openxmlformats.org/officeDocument/2006/relationships/worksheet" Target="/xl/worksheets/sheet5.xml"/><Relationship Id="Ra8c05f858bdb4c82" Type="http://schemas.openxmlformats.org/officeDocument/2006/relationships/worksheet" Target="/xl/worksheets/sheet6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customWidth="1"/>
    <x:col min="2" max="2" width="4.1640625" customWidth="1"/>
    <x:col min="3" max="9" width="6.33203125" customWidth="1"/>
    <x:col min="10" max="10" width="1.6640625" customWidth="1"/>
    <x:col min="11" max="17" width="6.33203125" customWidth="1"/>
    <x:col min="18" max="18" width="1.6640625" customWidth="1"/>
    <x:col min="19" max="25" width="6.33203125" customWidth="1"/>
    <x:col min="26" max="27" width="8.83203125" customWidth="1"/>
  </x:cols>
  <x:sheetData>
    <x:row r="1"/>
    <x:row r="2" ht="19.5" customHeight="1">
      <x:c r="B2" s="20"/>
      <x:c r="C2" s="49" t="str">
        <x:f>"Annual Planning Calendar"&amp;IF($X$2&lt;&gt;"","","")</x:f>
        <x:v>Annual Planning Calendar</x:v>
      </x:c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26"/>
      <x:c r="U2" s="30" t="s">
        <x:v>0</x:v>
      </x:c>
      <x:c r="V2" s="31"/>
      <x:c r="W2" s="32"/>
      <x:c r="X2" s="36">
        <x:v>2026</x:v>
      </x:c>
      <x:c r="Y2" s="37"/>
    </x:row>
    <x:row r="3" ht="20" customHeight="1">
      <x:c r="B3" s="21"/>
      <x:c r="C3" s="40" t="s">
        <x:v>1</x:v>
      </x:c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27"/>
      <x:c r="U3" s="33"/>
      <x:c r="V3" s="34"/>
      <x:c r="W3" s="35"/>
      <x:c r="X3" s="38"/>
      <x:c r="Y3" s="39"/>
    </x:row>
    <x:row r="4" ht="19.5" customHeight="1">
      <x:c r="B4" s="22"/>
      <x:c r="C4" s="41" t="s">
        <x:v>2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2"/>
    </x:row>
    <x:row r="5" ht="6.75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 ht="18" customHeight="1">
      <x:c r="B6" s="43" t="s">
        <x:v>3</x:v>
      </x:c>
      <x:c r="C6" s="46" t="n">
        <x:f>DATE($X$2,1,1)</x:f>
        <x:v>46023</x:v>
      </x:c>
      <x:c r="D6" s="47"/>
      <x:c r="E6" s="47"/>
      <x:c r="F6" s="47"/>
      <x:c r="G6" s="47"/>
      <x:c r="H6" s="47"/>
      <x:c r="I6" s="48"/>
      <x:c r="J6" s="1"/>
      <x:c r="K6" s="50" t="n">
        <x:f>DATE($X$2,2,1)</x:f>
        <x:v>46054</x:v>
      </x:c>
      <x:c r="L6" s="47"/>
      <x:c r="M6" s="47"/>
      <x:c r="N6" s="47"/>
      <x:c r="O6" s="47"/>
      <x:c r="P6" s="47"/>
      <x:c r="Q6" s="48"/>
      <x:c r="R6" s="1"/>
      <x:c r="S6" s="50" t="n">
        <x:f>DATE($X$2,3,1)</x:f>
        <x:v>46082</x:v>
      </x:c>
      <x:c r="T6" s="47"/>
      <x:c r="U6" s="47"/>
      <x:c r="V6" s="47"/>
      <x:c r="W6" s="47"/>
      <x:c r="X6" s="47"/>
      <x:c r="Y6" s="48"/>
    </x:row>
    <x:row r="7" ht="12.75" customHeight="1">
      <x:c r="B7" s="44"/>
      <x:c r="C7" s="17" t="s">
        <x:v>4</x:v>
      </x:c>
      <x:c r="D7" s="2" t="s">
        <x:v>5</x:v>
      </x:c>
      <x:c r="E7" s="2" t="s">
        <x:v>6</x:v>
      </x:c>
      <x:c r="F7" s="2" t="s">
        <x:v>7</x:v>
      </x:c>
      <x:c r="G7" s="2" t="s">
        <x:v>8</x:v>
      </x:c>
      <x:c r="H7" s="2" t="s">
        <x:v>9</x:v>
      </x:c>
      <x:c r="I7" s="2" t="s">
        <x:v>10</x:v>
      </x:c>
      <x:c r="J7" s="1"/>
      <x:c r="K7" s="2" t="s">
        <x:v>4</x:v>
      </x:c>
      <x:c r="L7" s="2" t="s">
        <x:v>5</x:v>
      </x:c>
      <x:c r="M7" s="2" t="s">
        <x:v>6</x:v>
      </x:c>
      <x:c r="N7" s="2" t="s">
        <x:v>7</x:v>
      </x:c>
      <x:c r="O7" s="2" t="s">
        <x:v>8</x:v>
      </x:c>
      <x:c r="P7" s="2" t="s">
        <x:v>9</x:v>
      </x:c>
      <x:c r="Q7" s="2" t="s">
        <x:v>10</x:v>
      </x:c>
      <x:c r="R7" s="1"/>
      <x:c r="S7" s="2" t="s">
        <x:v>4</x:v>
      </x:c>
      <x:c r="T7" s="2" t="s">
        <x:v>5</x:v>
      </x:c>
      <x:c r="U7" s="2" t="s">
        <x:v>6</x:v>
      </x:c>
      <x:c r="V7" s="2" t="s">
        <x:v>7</x:v>
      </x:c>
      <x:c r="W7" s="2" t="s">
        <x:v>8</x:v>
      </x:c>
      <x:c r="X7" s="2" t="s">
        <x:v>9</x:v>
      </x:c>
      <x:c r="Y7" s="2" t="s">
        <x:v>10</x:v>
      </x:c>
    </x:row>
    <x:row r="8" ht="10.5" customHeight="1">
      <x:c r="B8" s="44"/>
      <x:c r="C8" s="18" t="str">
        <x:f>IF(MONTH($C$6-WEEKDAY($C$6,1)+1+0)=MONTH($C$6),$C$6-WEEKDAY($C$6,1)+1+0,"")</x:f>
      </x:c>
      <x:c r="D8" s="4" t="str">
        <x:f>IF(MONTH($C$6-WEEKDAY($C$6,1)+1+1)=MONTH($C$6),$C$6-WEEKDAY($C$6,1)+1+1,"")</x:f>
      </x:c>
      <x:c r="E8" s="4" t="str">
        <x:f>IF(MONTH($C$6-WEEKDAY($C$6,1)+1+2)=MONTH($C$6),$C$6-WEEKDAY($C$6,1)+1+2,"")</x:f>
      </x:c>
      <x:c r="F8" s="4" t="str">
        <x:f>IF(MONTH($C$6-WEEKDAY($C$6,1)+1+3)=MONTH($C$6),$C$6-WEEKDAY($C$6,1)+1+3,"")</x:f>
      </x:c>
      <x:c r="G8" s="4" t="n">
        <x:f>IF(MONTH($C$6-WEEKDAY($C$6,1)+1+4)=MONTH($C$6),$C$6-WEEKDAY($C$6,1)+1+4,"")</x:f>
        <x:v>46023</x:v>
      </x:c>
      <x:c r="H8" s="4" t="n">
        <x:f>IF(MONTH($C$6-WEEKDAY($C$6,1)+1+5)=MONTH($C$6),$C$6-WEEKDAY($C$6,1)+1+5,"")</x:f>
        <x:v>46024</x:v>
      </x:c>
      <x:c r="I8" s="3" t="n">
        <x:f>IF(MONTH($C$6-WEEKDAY($C$6,1)+1+6)=MONTH($C$6),$C$6-WEEKDAY($C$6,1)+1+6,"")</x:f>
        <x:v>46025</x:v>
      </x:c>
      <x:c r="J8" s="1"/>
      <x:c r="K8" s="3" t="n">
        <x:f>IF(MONTH($K$6-WEEKDAY($K$6,1)+1+0)=MONTH($K$6),$K$6-WEEKDAY($K$6,1)+1+0,"")</x:f>
        <x:v>46054</x:v>
      </x:c>
      <x:c r="L8" s="4" t="n">
        <x:f>IF(MONTH($K$6-WEEKDAY($K$6,1)+1+1)=MONTH($K$6),$K$6-WEEKDAY($K$6,1)+1+1,"")</x:f>
        <x:v>46055</x:v>
      </x:c>
      <x:c r="M8" s="4" t="n">
        <x:f>IF(MONTH($K$6-WEEKDAY($K$6,1)+1+2)=MONTH($K$6),$K$6-WEEKDAY($K$6,1)+1+2,"")</x:f>
        <x:v>46056</x:v>
      </x:c>
      <x:c r="N8" s="4" t="n">
        <x:f>IF(MONTH($K$6-WEEKDAY($K$6,1)+1+3)=MONTH($K$6),$K$6-WEEKDAY($K$6,1)+1+3,"")</x:f>
        <x:v>46057</x:v>
      </x:c>
      <x:c r="O8" s="4" t="n">
        <x:f>IF(MONTH($K$6-WEEKDAY($K$6,1)+1+4)=MONTH($K$6),$K$6-WEEKDAY($K$6,1)+1+4,"")</x:f>
        <x:v>46058</x:v>
      </x:c>
      <x:c r="P8" s="4" t="n">
        <x:f>IF(MONTH($K$6-WEEKDAY($K$6,1)+1+5)=MONTH($K$6),$K$6-WEEKDAY($K$6,1)+1+5,"")</x:f>
        <x:v>46059</x:v>
      </x:c>
      <x:c r="Q8" s="3" t="n">
        <x:f>IF(MONTH($K$6-WEEKDAY($K$6,1)+1+6)=MONTH($K$6),$K$6-WEEKDAY($K$6,1)+1+6,"")</x:f>
        <x:v>46060</x:v>
      </x:c>
      <x:c r="R8" s="1"/>
      <x:c r="S8" s="3" t="n">
        <x:f>IF(MONTH($S$6-WEEKDAY($S$6,1)+1+0)=MONTH($S$6),$S$6-WEEKDAY($S$6,1)+1+0,"")</x:f>
        <x:v>46082</x:v>
      </x:c>
      <x:c r="T8" s="4" t="n">
        <x:f>IF(MONTH($S$6-WEEKDAY($S$6,1)+1+1)=MONTH($S$6),$S$6-WEEKDAY($S$6,1)+1+1,"")</x:f>
        <x:v>46083</x:v>
      </x:c>
      <x:c r="U8" s="4" t="n">
        <x:f>IF(MONTH($S$6-WEEKDAY($S$6,1)+1+2)=MONTH($S$6),$S$6-WEEKDAY($S$6,1)+1+2,"")</x:f>
        <x:v>46084</x:v>
      </x:c>
      <x:c r="V8" s="4" t="n">
        <x:f>IF(MONTH($S$6-WEEKDAY($S$6,1)+1+3)=MONTH($S$6),$S$6-WEEKDAY($S$6,1)+1+3,"")</x:f>
        <x:v>46085</x:v>
      </x:c>
      <x:c r="W8" s="4" t="n">
        <x:f>IF(MONTH($S$6-WEEKDAY($S$6,1)+1+4)=MONTH($S$6),$S$6-WEEKDAY($S$6,1)+1+4,"")</x:f>
        <x:v>46086</x:v>
      </x:c>
      <x:c r="X8" s="4" t="n">
        <x:f>IF(MONTH($S$6-WEEKDAY($S$6,1)+1+5)=MONTH($S$6),$S$6-WEEKDAY($S$6,1)+1+5,"")</x:f>
        <x:v>46087</x:v>
      </x:c>
      <x:c r="Y8" s="3" t="n">
        <x:f>IF(MONTH($S$6-WEEKDAY($S$6,1)+1+6)=MONTH($S$6),$S$6-WEEKDAY($S$6,1)+1+6,"")</x:f>
        <x:v>46088</x:v>
      </x:c>
    </x:row>
    <x:row r="9" ht="10.5" customHeight="1">
      <x:c r="B9" s="44"/>
      <x:c r="C9" s="19"/>
      <x:c r="D9" s="5"/>
      <x:c r="E9" s="5"/>
      <x:c r="F9" s="5"/>
      <x:c r="G9" s="5"/>
      <x:c r="H9" s="5"/>
      <x:c r="I9" s="5"/>
      <x:c r="J9" s="1"/>
      <x:c r="K9" s="5"/>
      <x:c r="L9" s="5"/>
      <x:c r="M9" s="5"/>
      <x:c r="N9" s="5"/>
      <x:c r="O9" s="5"/>
      <x:c r="P9" s="5"/>
      <x:c r="Q9" s="5"/>
      <x:c r="R9" s="1"/>
      <x:c r="S9" s="5"/>
      <x:c r="T9" s="5"/>
      <x:c r="U9" s="5"/>
      <x:c r="V9" s="5"/>
      <x:c r="W9" s="5"/>
      <x:c r="X9" s="5"/>
      <x:c r="Y9" s="5"/>
    </x:row>
    <x:row r="10" ht="10.5" customHeight="1">
      <x:c r="B10" s="44"/>
      <x:c r="C10" s="18" t="n">
        <x:f>IF(MONTH($C$6-WEEKDAY($C$6,1)+1+7)=MONTH($C$6),$C$6-WEEKDAY($C$6,1)+1+7,"")</x:f>
        <x:v>46026</x:v>
      </x:c>
      <x:c r="D10" s="4" t="n">
        <x:f>IF(MONTH($C$6-WEEKDAY($C$6,1)+1+8)=MONTH($C$6),$C$6-WEEKDAY($C$6,1)+1+8,"")</x:f>
        <x:v>46027</x:v>
      </x:c>
      <x:c r="E10" s="4" t="n">
        <x:f>IF(MONTH($C$6-WEEKDAY($C$6,1)+1+9)=MONTH($C$6),$C$6-WEEKDAY($C$6,1)+1+9,"")</x:f>
        <x:v>46028</x:v>
      </x:c>
      <x:c r="F10" s="4" t="n">
        <x:f>IF(MONTH($C$6-WEEKDAY($C$6,1)+1+10)=MONTH($C$6),$C$6-WEEKDAY($C$6,1)+1+10,"")</x:f>
        <x:v>46029</x:v>
      </x:c>
      <x:c r="G10" s="4" t="n">
        <x:f>IF(MONTH($C$6-WEEKDAY($C$6,1)+1+11)=MONTH($C$6),$C$6-WEEKDAY($C$6,1)+1+11,"")</x:f>
        <x:v>46030</x:v>
      </x:c>
      <x:c r="H10" s="4" t="n">
        <x:f>IF(MONTH($C$6-WEEKDAY($C$6,1)+1+12)=MONTH($C$6),$C$6-WEEKDAY($C$6,1)+1+12,"")</x:f>
        <x:v>46031</x:v>
      </x:c>
      <x:c r="I10" s="3" t="n">
        <x:f>IF(MONTH($C$6-WEEKDAY($C$6,1)+1+13)=MONTH($C$6),$C$6-WEEKDAY($C$6,1)+1+13,"")</x:f>
        <x:v>46032</x:v>
      </x:c>
      <x:c r="J10" s="1"/>
      <x:c r="K10" s="3" t="n">
        <x:f>IF(MONTH($K$6-WEEKDAY($K$6,1)+1+7)=MONTH($K$6),$K$6-WEEKDAY($K$6,1)+1+7,"")</x:f>
        <x:v>46061</x:v>
      </x:c>
      <x:c r="L10" s="4" t="n">
        <x:f>IF(MONTH($K$6-WEEKDAY($K$6,1)+1+8)=MONTH($K$6),$K$6-WEEKDAY($K$6,1)+1+8,"")</x:f>
        <x:v>46062</x:v>
      </x:c>
      <x:c r="M10" s="4" t="n">
        <x:f>IF(MONTH($K$6-WEEKDAY($K$6,1)+1+9)=MONTH($K$6),$K$6-WEEKDAY($K$6,1)+1+9,"")</x:f>
        <x:v>46063</x:v>
      </x:c>
      <x:c r="N10" s="4" t="n">
        <x:f>IF(MONTH($K$6-WEEKDAY($K$6,1)+1+10)=MONTH($K$6),$K$6-WEEKDAY($K$6,1)+1+10,"")</x:f>
        <x:v>46064</x:v>
      </x:c>
      <x:c r="O10" s="4" t="n">
        <x:f>IF(MONTH($K$6-WEEKDAY($K$6,1)+1+11)=MONTH($K$6),$K$6-WEEKDAY($K$6,1)+1+11,"")</x:f>
        <x:v>46065</x:v>
      </x:c>
      <x:c r="P10" s="4" t="n">
        <x:f>IF(MONTH($K$6-WEEKDAY($K$6,1)+1+12)=MONTH($K$6),$K$6-WEEKDAY($K$6,1)+1+12,"")</x:f>
        <x:v>46066</x:v>
      </x:c>
      <x:c r="Q10" s="3" t="n">
        <x:f>IF(MONTH($K$6-WEEKDAY($K$6,1)+1+13)=MONTH($K$6),$K$6-WEEKDAY($K$6,1)+1+13,"")</x:f>
        <x:v>46067</x:v>
      </x:c>
      <x:c r="R10" s="1"/>
      <x:c r="S10" s="3" t="n">
        <x:f>IF(MONTH($S$6-WEEKDAY($S$6,1)+1+7)=MONTH($S$6),$S$6-WEEKDAY($S$6,1)+1+7,"")</x:f>
        <x:v>46089</x:v>
      </x:c>
      <x:c r="T10" s="4" t="n">
        <x:f>IF(MONTH($S$6-WEEKDAY($S$6,1)+1+8)=MONTH($S$6),$S$6-WEEKDAY($S$6,1)+1+8,"")</x:f>
        <x:v>46090</x:v>
      </x:c>
      <x:c r="U10" s="4" t="n">
        <x:f>IF(MONTH($S$6-WEEKDAY($S$6,1)+1+9)=MONTH($S$6),$S$6-WEEKDAY($S$6,1)+1+9,"")</x:f>
        <x:v>46091</x:v>
      </x:c>
      <x:c r="V10" s="4" t="n">
        <x:f>IF(MONTH($S$6-WEEKDAY($S$6,1)+1+10)=MONTH($S$6),$S$6-WEEKDAY($S$6,1)+1+10,"")</x:f>
        <x:v>46092</x:v>
      </x:c>
      <x:c r="W10" s="4" t="n">
        <x:f>IF(MONTH($S$6-WEEKDAY($S$6,1)+1+11)=MONTH($S$6),$S$6-WEEKDAY($S$6,1)+1+11,"")</x:f>
        <x:v>46093</x:v>
      </x:c>
      <x:c r="X10" s="4" t="n">
        <x:f>IF(MONTH($S$6-WEEKDAY($S$6,1)+1+12)=MONTH($S$6),$S$6-WEEKDAY($S$6,1)+1+12,"")</x:f>
        <x:v>46094</x:v>
      </x:c>
      <x:c r="Y10" s="3" t="n">
        <x:f>IF(MONTH($S$6-WEEKDAY($S$6,1)+1+13)=MONTH($S$6),$S$6-WEEKDAY($S$6,1)+1+13,"")</x:f>
        <x:v>46095</x:v>
      </x:c>
    </x:row>
    <x:row r="11" ht="10.5" customHeight="1">
      <x:c r="B11" s="44"/>
      <x:c r="C11" s="19"/>
      <x:c r="D11" s="5"/>
      <x:c r="E11" s="5"/>
      <x:c r="F11" s="5"/>
      <x:c r="G11" s="5"/>
      <x:c r="H11" s="5"/>
      <x:c r="I11" s="5"/>
      <x:c r="J11" s="1"/>
      <x:c r="K11" s="5"/>
      <x:c r="L11" s="5"/>
      <x:c r="M11" s="5"/>
      <x:c r="N11" s="5"/>
      <x:c r="O11" s="5"/>
      <x:c r="P11" s="5"/>
      <x:c r="Q11" s="5"/>
      <x:c r="R11" s="1"/>
      <x:c r="S11" s="5"/>
      <x:c r="T11" s="5"/>
      <x:c r="U11" s="5"/>
      <x:c r="V11" s="5"/>
      <x:c r="W11" s="5"/>
      <x:c r="X11" s="5"/>
      <x:c r="Y11" s="5"/>
    </x:row>
    <x:row r="12" ht="10.5" customHeight="1">
      <x:c r="B12" s="44"/>
      <x:c r="C12" s="18" t="n">
        <x:f>IF(MONTH($C$6-WEEKDAY($C$6,1)+1+14)=MONTH($C$6),$C$6-WEEKDAY($C$6,1)+1+14,"")</x:f>
        <x:v>46033</x:v>
      </x:c>
      <x:c r="D12" s="4" t="n">
        <x:f>IF(MONTH($C$6-WEEKDAY($C$6,1)+1+15)=MONTH($C$6),$C$6-WEEKDAY($C$6,1)+1+15,"")</x:f>
        <x:v>46034</x:v>
      </x:c>
      <x:c r="E12" s="4" t="n">
        <x:f>IF(MONTH($C$6-WEEKDAY($C$6,1)+1+16)=MONTH($C$6),$C$6-WEEKDAY($C$6,1)+1+16,"")</x:f>
        <x:v>46035</x:v>
      </x:c>
      <x:c r="F12" s="4" t="n">
        <x:f>IF(MONTH($C$6-WEEKDAY($C$6,1)+1+17)=MONTH($C$6),$C$6-WEEKDAY($C$6,1)+1+17,"")</x:f>
        <x:v>46036</x:v>
      </x:c>
      <x:c r="G12" s="4" t="n">
        <x:f>IF(MONTH($C$6-WEEKDAY($C$6,1)+1+18)=MONTH($C$6),$C$6-WEEKDAY($C$6,1)+1+18,"")</x:f>
        <x:v>46037</x:v>
      </x:c>
      <x:c r="H12" s="4" t="n">
        <x:f>IF(MONTH($C$6-WEEKDAY($C$6,1)+1+19)=MONTH($C$6),$C$6-WEEKDAY($C$6,1)+1+19,"")</x:f>
        <x:v>46038</x:v>
      </x:c>
      <x:c r="I12" s="3" t="n">
        <x:f>IF(MONTH($C$6-WEEKDAY($C$6,1)+1+20)=MONTH($C$6),$C$6-WEEKDAY($C$6,1)+1+20,"")</x:f>
        <x:v>46039</x:v>
      </x:c>
      <x:c r="J12" s="1"/>
      <x:c r="K12" s="3" t="n">
        <x:f>IF(MONTH($K$6-WEEKDAY($K$6,1)+1+14)=MONTH($K$6),$K$6-WEEKDAY($K$6,1)+1+14,"")</x:f>
        <x:v>46068</x:v>
      </x:c>
      <x:c r="L12" s="4" t="n">
        <x:f>IF(MONTH($K$6-WEEKDAY($K$6,1)+1+15)=MONTH($K$6),$K$6-WEEKDAY($K$6,1)+1+15,"")</x:f>
        <x:v>46069</x:v>
      </x:c>
      <x:c r="M12" s="4" t="n">
        <x:f>IF(MONTH($K$6-WEEKDAY($K$6,1)+1+16)=MONTH($K$6),$K$6-WEEKDAY($K$6,1)+1+16,"")</x:f>
        <x:v>46070</x:v>
      </x:c>
      <x:c r="N12" s="4" t="n">
        <x:f>IF(MONTH($K$6-WEEKDAY($K$6,1)+1+17)=MONTH($K$6),$K$6-WEEKDAY($K$6,1)+1+17,"")</x:f>
        <x:v>46071</x:v>
      </x:c>
      <x:c r="O12" s="4" t="n">
        <x:f>IF(MONTH($K$6-WEEKDAY($K$6,1)+1+18)=MONTH($K$6),$K$6-WEEKDAY($K$6,1)+1+18,"")</x:f>
        <x:v>46072</x:v>
      </x:c>
      <x:c r="P12" s="4" t="n">
        <x:f>IF(MONTH($K$6-WEEKDAY($K$6,1)+1+19)=MONTH($K$6),$K$6-WEEKDAY($K$6,1)+1+19,"")</x:f>
        <x:v>46073</x:v>
      </x:c>
      <x:c r="Q12" s="3" t="n">
        <x:f>IF(MONTH($K$6-WEEKDAY($K$6,1)+1+20)=MONTH($K$6),$K$6-WEEKDAY($K$6,1)+1+20,"")</x:f>
        <x:v>46074</x:v>
      </x:c>
      <x:c r="R12" s="1"/>
      <x:c r="S12" s="3" t="n">
        <x:f>IF(MONTH($S$6-WEEKDAY($S$6,1)+1+14)=MONTH($S$6),$S$6-WEEKDAY($S$6,1)+1+14,"")</x:f>
        <x:v>46096</x:v>
      </x:c>
      <x:c r="T12" s="4" t="n">
        <x:f>IF(MONTH($S$6-WEEKDAY($S$6,1)+1+15)=MONTH($S$6),$S$6-WEEKDAY($S$6,1)+1+15,"")</x:f>
        <x:v>46097</x:v>
      </x:c>
      <x:c r="U12" s="4" t="n">
        <x:f>IF(MONTH($S$6-WEEKDAY($S$6,1)+1+16)=MONTH($S$6),$S$6-WEEKDAY($S$6,1)+1+16,"")</x:f>
        <x:v>46098</x:v>
      </x:c>
      <x:c r="V12" s="4" t="n">
        <x:f>IF(MONTH($S$6-WEEKDAY($S$6,1)+1+17)=MONTH($S$6),$S$6-WEEKDAY($S$6,1)+1+17,"")</x:f>
        <x:v>46099</x:v>
      </x:c>
      <x:c r="W12" s="4" t="n">
        <x:f>IF(MONTH($S$6-WEEKDAY($S$6,1)+1+18)=MONTH($S$6),$S$6-WEEKDAY($S$6,1)+1+18,"")</x:f>
        <x:v>46100</x:v>
      </x:c>
      <x:c r="X12" s="4" t="n">
        <x:f>IF(MONTH($S$6-WEEKDAY($S$6,1)+1+19)=MONTH($S$6),$S$6-WEEKDAY($S$6,1)+1+19,"")</x:f>
        <x:v>46101</x:v>
      </x:c>
      <x:c r="Y12" s="3" t="n">
        <x:f>IF(MONTH($S$6-WEEKDAY($S$6,1)+1+20)=MONTH($S$6),$S$6-WEEKDAY($S$6,1)+1+20,"")</x:f>
        <x:v>46102</x:v>
      </x:c>
    </x:row>
    <x:row r="13" ht="10.5" customHeight="1">
      <x:c r="B13" s="44"/>
      <x:c r="C13" s="19"/>
      <x:c r="D13" s="5"/>
      <x:c r="E13" s="5"/>
      <x:c r="F13" s="5"/>
      <x:c r="G13" s="5"/>
      <x:c r="H13" s="5"/>
      <x:c r="I13" s="5"/>
      <x:c r="J13" s="1"/>
      <x:c r="K13" s="5"/>
      <x:c r="L13" s="5"/>
      <x:c r="M13" s="5"/>
      <x:c r="N13" s="5"/>
      <x:c r="O13" s="5"/>
      <x:c r="P13" s="5"/>
      <x:c r="Q13" s="5"/>
      <x:c r="R13" s="1"/>
      <x:c r="S13" s="5"/>
      <x:c r="T13" s="5"/>
      <x:c r="U13" s="5"/>
      <x:c r="V13" s="5"/>
      <x:c r="W13" s="5"/>
      <x:c r="X13" s="5"/>
      <x:c r="Y13" s="5"/>
    </x:row>
    <x:row r="14" ht="10.5" customHeight="1">
      <x:c r="B14" s="44"/>
      <x:c r="C14" s="18" t="n">
        <x:f>IF(MONTH($C$6-WEEKDAY($C$6,1)+1+21)=MONTH($C$6),$C$6-WEEKDAY($C$6,1)+1+21,"")</x:f>
        <x:v>46040</x:v>
      </x:c>
      <x:c r="D14" s="4" t="n">
        <x:f>IF(MONTH($C$6-WEEKDAY($C$6,1)+1+22)=MONTH($C$6),$C$6-WEEKDAY($C$6,1)+1+22,"")</x:f>
        <x:v>46041</x:v>
      </x:c>
      <x:c r="E14" s="4" t="n">
        <x:f>IF(MONTH($C$6-WEEKDAY($C$6,1)+1+23)=MONTH($C$6),$C$6-WEEKDAY($C$6,1)+1+23,"")</x:f>
        <x:v>46042</x:v>
      </x:c>
      <x:c r="F14" s="4" t="n">
        <x:f>IF(MONTH($C$6-WEEKDAY($C$6,1)+1+24)=MONTH($C$6),$C$6-WEEKDAY($C$6,1)+1+24,"")</x:f>
        <x:v>46043</x:v>
      </x:c>
      <x:c r="G14" s="4" t="n">
        <x:f>IF(MONTH($C$6-WEEKDAY($C$6,1)+1+25)=MONTH($C$6),$C$6-WEEKDAY($C$6,1)+1+25,"")</x:f>
        <x:v>46044</x:v>
      </x:c>
      <x:c r="H14" s="4" t="n">
        <x:f>IF(MONTH($C$6-WEEKDAY($C$6,1)+1+26)=MONTH($C$6),$C$6-WEEKDAY($C$6,1)+1+26,"")</x:f>
        <x:v>46045</x:v>
      </x:c>
      <x:c r="I14" s="3" t="n">
        <x:f>IF(MONTH($C$6-WEEKDAY($C$6,1)+1+27)=MONTH($C$6),$C$6-WEEKDAY($C$6,1)+1+27,"")</x:f>
        <x:v>46046</x:v>
      </x:c>
      <x:c r="J14" s="1"/>
      <x:c r="K14" s="3" t="n">
        <x:f>IF(MONTH($K$6-WEEKDAY($K$6,1)+1+21)=MONTH($K$6),$K$6-WEEKDAY($K$6,1)+1+21,"")</x:f>
        <x:v>46075</x:v>
      </x:c>
      <x:c r="L14" s="4" t="n">
        <x:f>IF(MONTH($K$6-WEEKDAY($K$6,1)+1+22)=MONTH($K$6),$K$6-WEEKDAY($K$6,1)+1+22,"")</x:f>
        <x:v>46076</x:v>
      </x:c>
      <x:c r="M14" s="4" t="n">
        <x:f>IF(MONTH($K$6-WEEKDAY($K$6,1)+1+23)=MONTH($K$6),$K$6-WEEKDAY($K$6,1)+1+23,"")</x:f>
        <x:v>46077</x:v>
      </x:c>
      <x:c r="N14" s="4" t="n">
        <x:f>IF(MONTH($K$6-WEEKDAY($K$6,1)+1+24)=MONTH($K$6),$K$6-WEEKDAY($K$6,1)+1+24,"")</x:f>
        <x:v>46078</x:v>
      </x:c>
      <x:c r="O14" s="4" t="n">
        <x:f>IF(MONTH($K$6-WEEKDAY($K$6,1)+1+25)=MONTH($K$6),$K$6-WEEKDAY($K$6,1)+1+25,"")</x:f>
        <x:v>46079</x:v>
      </x:c>
      <x:c r="P14" s="4" t="n">
        <x:f>IF(MONTH($K$6-WEEKDAY($K$6,1)+1+26)=MONTH($K$6),$K$6-WEEKDAY($K$6,1)+1+26,"")</x:f>
        <x:v>46080</x:v>
      </x:c>
      <x:c r="Q14" s="3" t="n">
        <x:f>IF(MONTH($K$6-WEEKDAY($K$6,1)+1+27)=MONTH($K$6),$K$6-WEEKDAY($K$6,1)+1+27,"")</x:f>
        <x:v>46081</x:v>
      </x:c>
      <x:c r="R14" s="1"/>
      <x:c r="S14" s="3" t="n">
        <x:f>IF(MONTH($S$6-WEEKDAY($S$6,1)+1+21)=MONTH($S$6),$S$6-WEEKDAY($S$6,1)+1+21,"")</x:f>
        <x:v>46103</x:v>
      </x:c>
      <x:c r="T14" s="4" t="n">
        <x:f>IF(MONTH($S$6-WEEKDAY($S$6,1)+1+22)=MONTH($S$6),$S$6-WEEKDAY($S$6,1)+1+22,"")</x:f>
        <x:v>46104</x:v>
      </x:c>
      <x:c r="U14" s="4" t="n">
        <x:f>IF(MONTH($S$6-WEEKDAY($S$6,1)+1+23)=MONTH($S$6),$S$6-WEEKDAY($S$6,1)+1+23,"")</x:f>
        <x:v>46105</x:v>
      </x:c>
      <x:c r="V14" s="4" t="n">
        <x:f>IF(MONTH($S$6-WEEKDAY($S$6,1)+1+24)=MONTH($S$6),$S$6-WEEKDAY($S$6,1)+1+24,"")</x:f>
        <x:v>46106</x:v>
      </x:c>
      <x:c r="W14" s="4" t="n">
        <x:f>IF(MONTH($S$6-WEEKDAY($S$6,1)+1+25)=MONTH($S$6),$S$6-WEEKDAY($S$6,1)+1+25,"")</x:f>
        <x:v>46107</x:v>
      </x:c>
      <x:c r="X14" s="4" t="n">
        <x:f>IF(MONTH($S$6-WEEKDAY($S$6,1)+1+26)=MONTH($S$6),$S$6-WEEKDAY($S$6,1)+1+26,"")</x:f>
        <x:v>46108</x:v>
      </x:c>
      <x:c r="Y14" s="3" t="n">
        <x:f>IF(MONTH($S$6-WEEKDAY($S$6,1)+1+27)=MONTH($S$6),$S$6-WEEKDAY($S$6,1)+1+27,"")</x:f>
        <x:v>46109</x:v>
      </x:c>
    </x:row>
    <x:row r="15" ht="10.5" customHeight="1">
      <x:c r="B15" s="44"/>
      <x:c r="C15" s="19"/>
      <x:c r="D15" s="5"/>
      <x:c r="E15" s="5"/>
      <x:c r="F15" s="5"/>
      <x:c r="G15" s="5"/>
      <x:c r="H15" s="5"/>
      <x:c r="I15" s="5"/>
      <x:c r="J15" s="1"/>
      <x:c r="K15" s="5"/>
      <x:c r="L15" s="5"/>
      <x:c r="M15" s="5"/>
      <x:c r="N15" s="5"/>
      <x:c r="O15" s="5"/>
      <x:c r="P15" s="5"/>
      <x:c r="Q15" s="5"/>
      <x:c r="R15" s="1"/>
      <x:c r="S15" s="5"/>
      <x:c r="T15" s="5"/>
      <x:c r="U15" s="5"/>
      <x:c r="V15" s="5"/>
      <x:c r="W15" s="5"/>
      <x:c r="X15" s="5"/>
      <x:c r="Y15" s="5"/>
    </x:row>
    <x:row r="16" ht="10.5" customHeight="1">
      <x:c r="B16" s="44"/>
      <x:c r="C16" s="18" t="n">
        <x:f>IF(MONTH($C$6-WEEKDAY($C$6,1)+1+28)=MONTH($C$6),$C$6-WEEKDAY($C$6,1)+1+28,"")</x:f>
        <x:v>46047</x:v>
      </x:c>
      <x:c r="D16" s="4" t="n">
        <x:f>IF(MONTH($C$6-WEEKDAY($C$6,1)+1+29)=MONTH($C$6),$C$6-WEEKDAY($C$6,1)+1+29,"")</x:f>
        <x:v>46048</x:v>
      </x:c>
      <x:c r="E16" s="4" t="n">
        <x:f>IF(MONTH($C$6-WEEKDAY($C$6,1)+1+30)=MONTH($C$6),$C$6-WEEKDAY($C$6,1)+1+30,"")</x:f>
        <x:v>46049</x:v>
      </x:c>
      <x:c r="F16" s="4" t="n">
        <x:f>IF(MONTH($C$6-WEEKDAY($C$6,1)+1+31)=MONTH($C$6),$C$6-WEEKDAY($C$6,1)+1+31,"")</x:f>
        <x:v>46050</x:v>
      </x:c>
      <x:c r="G16" s="4" t="n">
        <x:f>IF(MONTH($C$6-WEEKDAY($C$6,1)+1+32)=MONTH($C$6),$C$6-WEEKDAY($C$6,1)+1+32,"")</x:f>
        <x:v>46051</x:v>
      </x:c>
      <x:c r="H16" s="4" t="n">
        <x:f>IF(MONTH($C$6-WEEKDAY($C$6,1)+1+33)=MONTH($C$6),$C$6-WEEKDAY($C$6,1)+1+33,"")</x:f>
        <x:v>46052</x:v>
      </x:c>
      <x:c r="I16" s="3" t="n">
        <x:f>IF(MONTH($C$6-WEEKDAY($C$6,1)+1+34)=MONTH($C$6),$C$6-WEEKDAY($C$6,1)+1+34,"")</x:f>
        <x:v>46053</x:v>
      </x:c>
      <x:c r="J16" s="1"/>
      <x:c r="K16" s="3" t="str">
        <x:f>IF(MONTH($K$6-WEEKDAY($K$6,1)+1+28)=MONTH($K$6),$K$6-WEEKDAY($K$6,1)+1+28,"")</x:f>
      </x:c>
      <x:c r="L16" s="4" t="str">
        <x:f>IF(MONTH($K$6-WEEKDAY($K$6,1)+1+29)=MONTH($K$6),$K$6-WEEKDAY($K$6,1)+1+29,"")</x:f>
      </x:c>
      <x:c r="M16" s="4" t="str">
        <x:f>IF(MONTH($K$6-WEEKDAY($K$6,1)+1+30)=MONTH($K$6),$K$6-WEEKDAY($K$6,1)+1+30,"")</x:f>
      </x:c>
      <x:c r="N16" s="4" t="str">
        <x:f>IF(MONTH($K$6-WEEKDAY($K$6,1)+1+31)=MONTH($K$6),$K$6-WEEKDAY($K$6,1)+1+31,"")</x:f>
      </x:c>
      <x:c r="O16" s="4" t="str">
        <x:f>IF(MONTH($K$6-WEEKDAY($K$6,1)+1+32)=MONTH($K$6),$K$6-WEEKDAY($K$6,1)+1+32,"")</x:f>
      </x:c>
      <x:c r="P16" s="4" t="str">
        <x:f>IF(MONTH($K$6-WEEKDAY($K$6,1)+1+33)=MONTH($K$6),$K$6-WEEKDAY($K$6,1)+1+33,"")</x:f>
      </x:c>
      <x:c r="Q16" s="3" t="str">
        <x:f>IF(MONTH($K$6-WEEKDAY($K$6,1)+1+34)=MONTH($K$6),$K$6-WEEKDAY($K$6,1)+1+34,"")</x:f>
      </x:c>
      <x:c r="R16" s="1"/>
      <x:c r="S16" s="3" t="n">
        <x:f>IF(MONTH($S$6-WEEKDAY($S$6,1)+1+28)=MONTH($S$6),$S$6-WEEKDAY($S$6,1)+1+28,"")</x:f>
        <x:v>46110</x:v>
      </x:c>
      <x:c r="T16" s="4" t="n">
        <x:f>IF(MONTH($S$6-WEEKDAY($S$6,1)+1+29)=MONTH($S$6),$S$6-WEEKDAY($S$6,1)+1+29,"")</x:f>
        <x:v>46111</x:v>
      </x:c>
      <x:c r="U16" s="4" t="n">
        <x:f>IF(MONTH($S$6-WEEKDAY($S$6,1)+1+30)=MONTH($S$6),$S$6-WEEKDAY($S$6,1)+1+30,"")</x:f>
        <x:v>46112</x:v>
      </x:c>
      <x:c r="V16" s="4" t="str">
        <x:f>IF(MONTH($S$6-WEEKDAY($S$6,1)+1+31)=MONTH($S$6),$S$6-WEEKDAY($S$6,1)+1+31,"")</x:f>
      </x:c>
      <x:c r="W16" s="4" t="str">
        <x:f>IF(MONTH($S$6-WEEKDAY($S$6,1)+1+32)=MONTH($S$6),$S$6-WEEKDAY($S$6,1)+1+32,"")</x:f>
      </x:c>
      <x:c r="X16" s="4" t="str">
        <x:f>IF(MONTH($S$6-WEEKDAY($S$6,1)+1+33)=MONTH($S$6),$S$6-WEEKDAY($S$6,1)+1+33,"")</x:f>
      </x:c>
      <x:c r="Y16" s="3" t="str">
        <x:f>IF(MONTH($S$6-WEEKDAY($S$6,1)+1+34)=MONTH($S$6),$S$6-WEEKDAY($S$6,1)+1+34,"")</x:f>
      </x:c>
    </x:row>
    <x:row r="17" ht="10.5" customHeight="1">
      <x:c r="B17" s="44"/>
      <x:c r="C17" s="19"/>
      <x:c r="D17" s="5"/>
      <x:c r="E17" s="5"/>
      <x:c r="F17" s="5"/>
      <x:c r="G17" s="5"/>
      <x:c r="H17" s="5"/>
      <x:c r="I17" s="5"/>
      <x:c r="J17" s="1"/>
      <x:c r="K17" s="5"/>
      <x:c r="L17" s="5"/>
      <x:c r="M17" s="5"/>
      <x:c r="N17" s="5"/>
      <x:c r="O17" s="5"/>
      <x:c r="P17" s="5"/>
      <x:c r="Q17" s="5"/>
      <x:c r="R17" s="1"/>
      <x:c r="S17" s="5"/>
      <x:c r="T17" s="5"/>
      <x:c r="U17" s="5"/>
      <x:c r="V17" s="5"/>
      <x:c r="W17" s="5"/>
      <x:c r="X17" s="5"/>
      <x:c r="Y17" s="5"/>
    </x:row>
    <x:row r="18" ht="10.5" customHeight="1">
      <x:c r="B18" s="44"/>
      <x:c r="C18" s="18" t="str">
        <x:f>IF(MONTH($C$6-WEEKDAY($C$6,1)+1+35)=MONTH($C$6),$C$6-WEEKDAY($C$6,1)+1+35,"")</x:f>
      </x:c>
      <x:c r="D18" s="4" t="str">
        <x:f>IF(MONTH($C$6-WEEKDAY($C$6,1)+1+36)=MONTH($C$6),$C$6-WEEKDAY($C$6,1)+1+36,"")</x:f>
      </x:c>
      <x:c r="E18" s="4" t="str">
        <x:f>IF(MONTH($C$6-WEEKDAY($C$6,1)+1+37)=MONTH($C$6),$C$6-WEEKDAY($C$6,1)+1+37,"")</x:f>
      </x:c>
      <x:c r="F18" s="4" t="str">
        <x:f>IF(MONTH($C$6-WEEKDAY($C$6,1)+1+38)=MONTH($C$6),$C$6-WEEKDAY($C$6,1)+1+38,"")</x:f>
      </x:c>
      <x:c r="G18" s="4" t="str">
        <x:f>IF(MONTH($C$6-WEEKDAY($C$6,1)+1+39)=MONTH($C$6),$C$6-WEEKDAY($C$6,1)+1+39,"")</x:f>
      </x:c>
      <x:c r="H18" s="4" t="str">
        <x:f>IF(MONTH($C$6-WEEKDAY($C$6,1)+1+40)=MONTH($C$6),$C$6-WEEKDAY($C$6,1)+1+40,"")</x:f>
      </x:c>
      <x:c r="I18" s="3" t="str">
        <x:f>IF(MONTH($C$6-WEEKDAY($C$6,1)+1+41)=MONTH($C$6),$C$6-WEEKDAY($C$6,1)+1+41,"")</x:f>
      </x:c>
      <x:c r="J18" s="1"/>
      <x:c r="K18" s="3" t="str">
        <x:f>IF(MONTH($K$6-WEEKDAY($K$6,1)+1+35)=MONTH($K$6),$K$6-WEEKDAY($K$6,1)+1+35,"")</x:f>
      </x:c>
      <x:c r="L18" s="4" t="str">
        <x:f>IF(MONTH($K$6-WEEKDAY($K$6,1)+1+36)=MONTH($K$6),$K$6-WEEKDAY($K$6,1)+1+36,"")</x:f>
      </x:c>
      <x:c r="M18" s="4" t="str">
        <x:f>IF(MONTH($K$6-WEEKDAY($K$6,1)+1+37)=MONTH($K$6),$K$6-WEEKDAY($K$6,1)+1+37,"")</x:f>
      </x:c>
      <x:c r="N18" s="4" t="str">
        <x:f>IF(MONTH($K$6-WEEKDAY($K$6,1)+1+38)=MONTH($K$6),$K$6-WEEKDAY($K$6,1)+1+38,"")</x:f>
      </x:c>
      <x:c r="O18" s="4" t="str">
        <x:f>IF(MONTH($K$6-WEEKDAY($K$6,1)+1+39)=MONTH($K$6),$K$6-WEEKDAY($K$6,1)+1+39,"")</x:f>
      </x:c>
      <x:c r="P18" s="4" t="str">
        <x:f>IF(MONTH($K$6-WEEKDAY($K$6,1)+1+40)=MONTH($K$6),$K$6-WEEKDAY($K$6,1)+1+40,"")</x:f>
      </x:c>
      <x:c r="Q18" s="3" t="str">
        <x:f>IF(MONTH($K$6-WEEKDAY($K$6,1)+1+41)=MONTH($K$6),$K$6-WEEKDAY($K$6,1)+1+41,"")</x:f>
      </x:c>
      <x:c r="R18" s="1"/>
      <x:c r="S18" s="3" t="str">
        <x:f>IF(MONTH($S$6-WEEKDAY($S$6,1)+1+35)=MONTH($S$6),$S$6-WEEKDAY($S$6,1)+1+35,"")</x:f>
      </x:c>
      <x:c r="T18" s="4" t="str">
        <x:f>IF(MONTH($S$6-WEEKDAY($S$6,1)+1+36)=MONTH($S$6),$S$6-WEEKDAY($S$6,1)+1+36,"")</x:f>
      </x:c>
      <x:c r="U18" s="4" t="str">
        <x:f>IF(MONTH($S$6-WEEKDAY($S$6,1)+1+37)=MONTH($S$6),$S$6-WEEKDAY($S$6,1)+1+37,"")</x:f>
      </x:c>
      <x:c r="V18" s="4" t="str">
        <x:f>IF(MONTH($S$6-WEEKDAY($S$6,1)+1+38)=MONTH($S$6),$S$6-WEEKDAY($S$6,1)+1+38,"")</x:f>
      </x:c>
      <x:c r="W18" s="4" t="str">
        <x:f>IF(MONTH($S$6-WEEKDAY($S$6,1)+1+39)=MONTH($S$6),$S$6-WEEKDAY($S$6,1)+1+39,"")</x:f>
      </x:c>
      <x:c r="X18" s="4" t="str">
        <x:f>IF(MONTH($S$6-WEEKDAY($S$6,1)+1+40)=MONTH($S$6),$S$6-WEEKDAY($S$6,1)+1+40,"")</x:f>
      </x:c>
      <x:c r="Y18" s="3" t="str">
        <x:f>IF(MONTH($S$6-WEEKDAY($S$6,1)+1+41)=MONTH($S$6),$S$6-WEEKDAY($S$6,1)+1+41,"")</x:f>
      </x:c>
    </x:row>
    <x:row r="19" ht="10.5" customHeight="1">
      <x:c r="B19" s="45"/>
      <x:c r="C19" s="19"/>
      <x:c r="D19" s="5"/>
      <x:c r="E19" s="5"/>
      <x:c r="F19" s="5"/>
      <x:c r="G19" s="5"/>
      <x:c r="H19" s="5"/>
      <x:c r="I19" s="5"/>
      <x:c r="J19" s="1"/>
      <x:c r="K19" s="5"/>
      <x:c r="L19" s="5"/>
      <x:c r="M19" s="5"/>
      <x:c r="N19" s="5"/>
      <x:c r="O19" s="5"/>
      <x:c r="P19" s="5"/>
      <x:c r="Q19" s="5"/>
      <x:c r="R19" s="1"/>
      <x:c r="S19" s="5"/>
      <x:c r="T19" s="5"/>
      <x:c r="U19" s="5"/>
      <x:c r="V19" s="5"/>
      <x:c r="W19" s="5"/>
      <x:c r="X19" s="5"/>
      <x:c r="Y19" s="5"/>
    </x:row>
    <x:row r="20" ht="6.75" customHeight="1"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</x:row>
    <x:row r="21" ht="18" customHeight="1">
      <x:c r="B21" s="43" t="s">
        <x:v>11</x:v>
      </x:c>
      <x:c r="C21" s="50" t="n">
        <x:f>DATE($X$2,4,1)</x:f>
        <x:v>46113</x:v>
      </x:c>
      <x:c r="D21" s="47"/>
      <x:c r="E21" s="47"/>
      <x:c r="F21" s="47"/>
      <x:c r="G21" s="47"/>
      <x:c r="H21" s="47"/>
      <x:c r="I21" s="48"/>
      <x:c r="J21" s="1"/>
      <x:c r="K21" s="50" t="n">
        <x:f>DATE($X$2,5,1)</x:f>
        <x:v>46143</x:v>
      </x:c>
      <x:c r="L21" s="47"/>
      <x:c r="M21" s="47"/>
      <x:c r="N21" s="47"/>
      <x:c r="O21" s="47"/>
      <x:c r="P21" s="47"/>
      <x:c r="Q21" s="48"/>
      <x:c r="R21" s="1"/>
      <x:c r="S21" s="50" t="n">
        <x:f>DATE($X$2,6,1)</x:f>
        <x:v>46174</x:v>
      </x:c>
      <x:c r="T21" s="47"/>
      <x:c r="U21" s="47"/>
      <x:c r="V21" s="47"/>
      <x:c r="W21" s="47"/>
      <x:c r="X21" s="47"/>
      <x:c r="Y21" s="48"/>
    </x:row>
    <x:row r="22" ht="12.75" customHeight="1">
      <x:c r="B22" s="44"/>
      <x:c r="C22" s="2" t="s">
        <x:v>4</x:v>
      </x:c>
      <x:c r="D22" s="2" t="s">
        <x:v>5</x:v>
      </x:c>
      <x:c r="E22" s="2" t="s">
        <x:v>6</x:v>
      </x:c>
      <x:c r="F22" s="2" t="s">
        <x:v>7</x:v>
      </x:c>
      <x:c r="G22" s="2" t="s">
        <x:v>8</x:v>
      </x:c>
      <x:c r="H22" s="2" t="s">
        <x:v>9</x:v>
      </x:c>
      <x:c r="I22" s="2" t="s">
        <x:v>10</x:v>
      </x:c>
      <x:c r="J22" s="1"/>
      <x:c r="K22" s="2" t="s">
        <x:v>4</x:v>
      </x:c>
      <x:c r="L22" s="2" t="s">
        <x:v>5</x:v>
      </x:c>
      <x:c r="M22" s="2" t="s">
        <x:v>6</x:v>
      </x:c>
      <x:c r="N22" s="2" t="s">
        <x:v>7</x:v>
      </x:c>
      <x:c r="O22" s="2" t="s">
        <x:v>8</x:v>
      </x:c>
      <x:c r="P22" s="2" t="s">
        <x:v>9</x:v>
      </x:c>
      <x:c r="Q22" s="2" t="s">
        <x:v>10</x:v>
      </x:c>
      <x:c r="R22" s="1"/>
      <x:c r="S22" s="2" t="s">
        <x:v>4</x:v>
      </x:c>
      <x:c r="T22" s="2" t="s">
        <x:v>5</x:v>
      </x:c>
      <x:c r="U22" s="2" t="s">
        <x:v>6</x:v>
      </x:c>
      <x:c r="V22" s="2" t="s">
        <x:v>7</x:v>
      </x:c>
      <x:c r="W22" s="2" t="s">
        <x:v>8</x:v>
      </x:c>
      <x:c r="X22" s="2" t="s">
        <x:v>9</x:v>
      </x:c>
      <x:c r="Y22" s="2" t="s">
        <x:v>10</x:v>
      </x:c>
    </x:row>
    <x:row r="23" ht="10.5" customHeight="1">
      <x:c r="B23" s="44"/>
      <x:c r="C23" s="3" t="str">
        <x:f>IF(MONTH($C$21-WEEKDAY($C$21,1)+1+0)=MONTH($C$21),$C$21-WEEKDAY($C$21,1)+1+0,"")</x:f>
      </x:c>
      <x:c r="D23" s="4" t="str">
        <x:f>IF(MONTH($C$21-WEEKDAY($C$21,1)+1+1)=MONTH($C$21),$C$21-WEEKDAY($C$21,1)+1+1,"")</x:f>
      </x:c>
      <x:c r="E23" s="4" t="str">
        <x:f>IF(MONTH($C$21-WEEKDAY($C$21,1)+1+2)=MONTH($C$21),$C$21-WEEKDAY($C$21,1)+1+2,"")</x:f>
      </x:c>
      <x:c r="F23" s="4" t="n">
        <x:f>IF(MONTH($C$21-WEEKDAY($C$21,1)+1+3)=MONTH($C$21),$C$21-WEEKDAY($C$21,1)+1+3,"")</x:f>
        <x:v>46113</x:v>
      </x:c>
      <x:c r="G23" s="4" t="n">
        <x:f>IF(MONTH($C$21-WEEKDAY($C$21,1)+1+4)=MONTH($C$21),$C$21-WEEKDAY($C$21,1)+1+4,"")</x:f>
        <x:v>46114</x:v>
      </x:c>
      <x:c r="H23" s="4" t="n">
        <x:f>IF(MONTH($C$21-WEEKDAY($C$21,1)+1+5)=MONTH($C$21),$C$21-WEEKDAY($C$21,1)+1+5,"")</x:f>
        <x:v>46115</x:v>
      </x:c>
      <x:c r="I23" s="3" t="n">
        <x:f>IF(MONTH($C$21-WEEKDAY($C$21,1)+1+6)=MONTH($C$21),$C$21-WEEKDAY($C$21,1)+1+6,"")</x:f>
        <x:v>46116</x:v>
      </x:c>
      <x:c r="J23" s="1"/>
      <x:c r="K23" s="3" t="str">
        <x:f>IF(MONTH($K$21-WEEKDAY($K$21,1)+1+0)=MONTH($K$21),$K$21-WEEKDAY($K$21,1)+1+0,"")</x:f>
      </x:c>
      <x:c r="L23" s="4" t="str">
        <x:f>IF(MONTH($K$21-WEEKDAY($K$21,1)+1+1)=MONTH($K$21),$K$21-WEEKDAY($K$21,1)+1+1,"")</x:f>
      </x:c>
      <x:c r="M23" s="4" t="str">
        <x:f>IF(MONTH($K$21-WEEKDAY($K$21,1)+1+2)=MONTH($K$21),$K$21-WEEKDAY($K$21,1)+1+2,"")</x:f>
      </x:c>
      <x:c r="N23" s="4" t="str">
        <x:f>IF(MONTH($K$21-WEEKDAY($K$21,1)+1+3)=MONTH($K$21),$K$21-WEEKDAY($K$21,1)+1+3,"")</x:f>
      </x:c>
      <x:c r="O23" s="4" t="str">
        <x:f>IF(MONTH($K$21-WEEKDAY($K$21,1)+1+4)=MONTH($K$21),$K$21-WEEKDAY($K$21,1)+1+4,"")</x:f>
      </x:c>
      <x:c r="P23" s="4" t="n">
        <x:f>IF(MONTH($K$21-WEEKDAY($K$21,1)+1+5)=MONTH($K$21),$K$21-WEEKDAY($K$21,1)+1+5,"")</x:f>
        <x:v>46143</x:v>
      </x:c>
      <x:c r="Q23" s="3" t="n">
        <x:f>IF(MONTH($K$21-WEEKDAY($K$21,1)+1+6)=MONTH($K$21),$K$21-WEEKDAY($K$21,1)+1+6,"")</x:f>
        <x:v>46144</x:v>
      </x:c>
      <x:c r="R23" s="1"/>
      <x:c r="S23" s="3" t="str">
        <x:f>IF(MONTH($S$21-WEEKDAY($S$21,1)+1+0)=MONTH($S$21),$S$21-WEEKDAY($S$21,1)+1+0,"")</x:f>
      </x:c>
      <x:c r="T23" s="4" t="n">
        <x:f>IF(MONTH($S$21-WEEKDAY($S$21,1)+1+1)=MONTH($S$21),$S$21-WEEKDAY($S$21,1)+1+1,"")</x:f>
        <x:v>46174</x:v>
      </x:c>
      <x:c r="U23" s="4" t="n">
        <x:f>IF(MONTH($S$21-WEEKDAY($S$21,1)+1+2)=MONTH($S$21),$S$21-WEEKDAY($S$21,1)+1+2,"")</x:f>
        <x:v>46175</x:v>
      </x:c>
      <x:c r="V23" s="4" t="n">
        <x:f>IF(MONTH($S$21-WEEKDAY($S$21,1)+1+3)=MONTH($S$21),$S$21-WEEKDAY($S$21,1)+1+3,"")</x:f>
        <x:v>46176</x:v>
      </x:c>
      <x:c r="W23" s="4" t="n">
        <x:f>IF(MONTH($S$21-WEEKDAY($S$21,1)+1+4)=MONTH($S$21),$S$21-WEEKDAY($S$21,1)+1+4,"")</x:f>
        <x:v>46177</x:v>
      </x:c>
      <x:c r="X23" s="4" t="n">
        <x:f>IF(MONTH($S$21-WEEKDAY($S$21,1)+1+5)=MONTH($S$21),$S$21-WEEKDAY($S$21,1)+1+5,"")</x:f>
        <x:v>46178</x:v>
      </x:c>
      <x:c r="Y23" s="3" t="n">
        <x:f>IF(MONTH($S$21-WEEKDAY($S$21,1)+1+6)=MONTH($S$21),$S$21-WEEKDAY($S$21,1)+1+6,"")</x:f>
        <x:v>46179</x:v>
      </x:c>
    </x:row>
    <x:row r="24" ht="10.5" customHeight="1">
      <x:c r="B24" s="44"/>
      <x:c r="C24" s="5"/>
      <x:c r="D24" s="5"/>
      <x:c r="E24" s="5"/>
      <x:c r="F24" s="5"/>
      <x:c r="G24" s="5"/>
      <x:c r="H24" s="5"/>
      <x:c r="I24" s="5"/>
      <x:c r="J24" s="1"/>
      <x:c r="K24" s="5"/>
      <x:c r="L24" s="5"/>
      <x:c r="M24" s="5"/>
      <x:c r="N24" s="5"/>
      <x:c r="O24" s="5"/>
      <x:c r="P24" s="5"/>
      <x:c r="Q24" s="5"/>
      <x:c r="R24" s="1"/>
      <x:c r="S24" s="5"/>
      <x:c r="T24" s="5"/>
      <x:c r="U24" s="5"/>
      <x:c r="V24" s="5"/>
      <x:c r="W24" s="5"/>
      <x:c r="X24" s="5"/>
      <x:c r="Y24" s="5"/>
    </x:row>
    <x:row r="25" ht="10.5" customHeight="1">
      <x:c r="B25" s="44"/>
      <x:c r="C25" s="3" t="n">
        <x:f>IF(MONTH($C$21-WEEKDAY($C$21,1)+1+7)=MONTH($C$21),$C$21-WEEKDAY($C$21,1)+1+7,"")</x:f>
        <x:v>46117</x:v>
      </x:c>
      <x:c r="D25" s="4" t="n">
        <x:f>IF(MONTH($C$21-WEEKDAY($C$21,1)+1+8)=MONTH($C$21),$C$21-WEEKDAY($C$21,1)+1+8,"")</x:f>
        <x:v>46118</x:v>
      </x:c>
      <x:c r="E25" s="4" t="n">
        <x:f>IF(MONTH($C$21-WEEKDAY($C$21,1)+1+9)=MONTH($C$21),$C$21-WEEKDAY($C$21,1)+1+9,"")</x:f>
        <x:v>46119</x:v>
      </x:c>
      <x:c r="F25" s="4" t="n">
        <x:f>IF(MONTH($C$21-WEEKDAY($C$21,1)+1+10)=MONTH($C$21),$C$21-WEEKDAY($C$21,1)+1+10,"")</x:f>
        <x:v>46120</x:v>
      </x:c>
      <x:c r="G25" s="4" t="n">
        <x:f>IF(MONTH($C$21-WEEKDAY($C$21,1)+1+11)=MONTH($C$21),$C$21-WEEKDAY($C$21,1)+1+11,"")</x:f>
        <x:v>46121</x:v>
      </x:c>
      <x:c r="H25" s="4" t="n">
        <x:f>IF(MONTH($C$21-WEEKDAY($C$21,1)+1+12)=MONTH($C$21),$C$21-WEEKDAY($C$21,1)+1+12,"")</x:f>
        <x:v>46122</x:v>
      </x:c>
      <x:c r="I25" s="3" t="n">
        <x:f>IF(MONTH($C$21-WEEKDAY($C$21,1)+1+13)=MONTH($C$21),$C$21-WEEKDAY($C$21,1)+1+13,"")</x:f>
        <x:v>46123</x:v>
      </x:c>
      <x:c r="J25" s="1"/>
      <x:c r="K25" s="3" t="n">
        <x:f>IF(MONTH($K$21-WEEKDAY($K$21,1)+1+7)=MONTH($K$21),$K$21-WEEKDAY($K$21,1)+1+7,"")</x:f>
        <x:v>46145</x:v>
      </x:c>
      <x:c r="L25" s="4" t="n">
        <x:f>IF(MONTH($K$21-WEEKDAY($K$21,1)+1+8)=MONTH($K$21),$K$21-WEEKDAY($K$21,1)+1+8,"")</x:f>
        <x:v>46146</x:v>
      </x:c>
      <x:c r="M25" s="4" t="n">
        <x:f>IF(MONTH($K$21-WEEKDAY($K$21,1)+1+9)=MONTH($K$21),$K$21-WEEKDAY($K$21,1)+1+9,"")</x:f>
        <x:v>46147</x:v>
      </x:c>
      <x:c r="N25" s="4" t="n">
        <x:f>IF(MONTH($K$21-WEEKDAY($K$21,1)+1+10)=MONTH($K$21),$K$21-WEEKDAY($K$21,1)+1+10,"")</x:f>
        <x:v>46148</x:v>
      </x:c>
      <x:c r="O25" s="4" t="n">
        <x:f>IF(MONTH($K$21-WEEKDAY($K$21,1)+1+11)=MONTH($K$21),$K$21-WEEKDAY($K$21,1)+1+11,"")</x:f>
        <x:v>46149</x:v>
      </x:c>
      <x:c r="P25" s="4" t="n">
        <x:f>IF(MONTH($K$21-WEEKDAY($K$21,1)+1+12)=MONTH($K$21),$K$21-WEEKDAY($K$21,1)+1+12,"")</x:f>
        <x:v>46150</x:v>
      </x:c>
      <x:c r="Q25" s="3" t="n">
        <x:f>IF(MONTH($K$21-WEEKDAY($K$21,1)+1+13)=MONTH($K$21),$K$21-WEEKDAY($K$21,1)+1+13,"")</x:f>
        <x:v>46151</x:v>
      </x:c>
      <x:c r="R25" s="1"/>
      <x:c r="S25" s="3" t="n">
        <x:f>IF(MONTH($S$21-WEEKDAY($S$21,1)+1+7)=MONTH($S$21),$S$21-WEEKDAY($S$21,1)+1+7,"")</x:f>
        <x:v>46180</x:v>
      </x:c>
      <x:c r="T25" s="4" t="n">
        <x:f>IF(MONTH($S$21-WEEKDAY($S$21,1)+1+8)=MONTH($S$21),$S$21-WEEKDAY($S$21,1)+1+8,"")</x:f>
        <x:v>46181</x:v>
      </x:c>
      <x:c r="U25" s="4" t="n">
        <x:f>IF(MONTH($S$21-WEEKDAY($S$21,1)+1+9)=MONTH($S$21),$S$21-WEEKDAY($S$21,1)+1+9,"")</x:f>
        <x:v>46182</x:v>
      </x:c>
      <x:c r="V25" s="4" t="n">
        <x:f>IF(MONTH($S$21-WEEKDAY($S$21,1)+1+10)=MONTH($S$21),$S$21-WEEKDAY($S$21,1)+1+10,"")</x:f>
        <x:v>46183</x:v>
      </x:c>
      <x:c r="W25" s="4" t="n">
        <x:f>IF(MONTH($S$21-WEEKDAY($S$21,1)+1+11)=MONTH($S$21),$S$21-WEEKDAY($S$21,1)+1+11,"")</x:f>
        <x:v>46184</x:v>
      </x:c>
      <x:c r="X25" s="4" t="n">
        <x:f>IF(MONTH($S$21-WEEKDAY($S$21,1)+1+12)=MONTH($S$21),$S$21-WEEKDAY($S$21,1)+1+12,"")</x:f>
        <x:v>46185</x:v>
      </x:c>
      <x:c r="Y25" s="3" t="n">
        <x:f>IF(MONTH($S$21-WEEKDAY($S$21,1)+1+13)=MONTH($S$21),$S$21-WEEKDAY($S$21,1)+1+13,"")</x:f>
        <x:v>46186</x:v>
      </x:c>
    </x:row>
    <x:row r="26" ht="10.5" customHeight="1">
      <x:c r="B26" s="44"/>
      <x:c r="C26" s="5"/>
      <x:c r="D26" s="5"/>
      <x:c r="E26" s="5"/>
      <x:c r="F26" s="5"/>
      <x:c r="G26" s="5"/>
      <x:c r="H26" s="5"/>
      <x:c r="I26" s="5"/>
      <x:c r="J26" s="1"/>
      <x:c r="K26" s="5"/>
      <x:c r="L26" s="5"/>
      <x:c r="M26" s="5"/>
      <x:c r="N26" s="5"/>
      <x:c r="O26" s="5"/>
      <x:c r="P26" s="5"/>
      <x:c r="Q26" s="5"/>
      <x:c r="R26" s="1"/>
      <x:c r="S26" s="5"/>
      <x:c r="T26" s="5"/>
      <x:c r="U26" s="5"/>
      <x:c r="V26" s="5"/>
      <x:c r="W26" s="5"/>
      <x:c r="X26" s="5"/>
      <x:c r="Y26" s="5"/>
    </x:row>
    <x:row r="27" ht="10.5" customHeight="1">
      <x:c r="B27" s="44"/>
      <x:c r="C27" s="3" t="n">
        <x:f>IF(MONTH($C$21-WEEKDAY($C$21,1)+1+14)=MONTH($C$21),$C$21-WEEKDAY($C$21,1)+1+14,"")</x:f>
        <x:v>46124</x:v>
      </x:c>
      <x:c r="D27" s="4" t="n">
        <x:f>IF(MONTH($C$21-WEEKDAY($C$21,1)+1+15)=MONTH($C$21),$C$21-WEEKDAY($C$21,1)+1+15,"")</x:f>
        <x:v>46125</x:v>
      </x:c>
      <x:c r="E27" s="4" t="n">
        <x:f>IF(MONTH($C$21-WEEKDAY($C$21,1)+1+16)=MONTH($C$21),$C$21-WEEKDAY($C$21,1)+1+16,"")</x:f>
        <x:v>46126</x:v>
      </x:c>
      <x:c r="F27" s="4" t="n">
        <x:f>IF(MONTH($C$21-WEEKDAY($C$21,1)+1+17)=MONTH($C$21),$C$21-WEEKDAY($C$21,1)+1+17,"")</x:f>
        <x:v>46127</x:v>
      </x:c>
      <x:c r="G27" s="4" t="n">
        <x:f>IF(MONTH($C$21-WEEKDAY($C$21,1)+1+18)=MONTH($C$21),$C$21-WEEKDAY($C$21,1)+1+18,"")</x:f>
        <x:v>46128</x:v>
      </x:c>
      <x:c r="H27" s="4" t="n">
        <x:f>IF(MONTH($C$21-WEEKDAY($C$21,1)+1+19)=MONTH($C$21),$C$21-WEEKDAY($C$21,1)+1+19,"")</x:f>
        <x:v>46129</x:v>
      </x:c>
      <x:c r="I27" s="3" t="n">
        <x:f>IF(MONTH($C$21-WEEKDAY($C$21,1)+1+20)=MONTH($C$21),$C$21-WEEKDAY($C$21,1)+1+20,"")</x:f>
        <x:v>46130</x:v>
      </x:c>
      <x:c r="J27" s="1"/>
      <x:c r="K27" s="3" t="n">
        <x:f>IF(MONTH($K$21-WEEKDAY($K$21,1)+1+14)=MONTH($K$21),$K$21-WEEKDAY($K$21,1)+1+14,"")</x:f>
        <x:v>46152</x:v>
      </x:c>
      <x:c r="L27" s="4" t="n">
        <x:f>IF(MONTH($K$21-WEEKDAY($K$21,1)+1+15)=MONTH($K$21),$K$21-WEEKDAY($K$21,1)+1+15,"")</x:f>
        <x:v>46153</x:v>
      </x:c>
      <x:c r="M27" s="4" t="n">
        <x:f>IF(MONTH($K$21-WEEKDAY($K$21,1)+1+16)=MONTH($K$21),$K$21-WEEKDAY($K$21,1)+1+16,"")</x:f>
        <x:v>46154</x:v>
      </x:c>
      <x:c r="N27" s="4" t="n">
        <x:f>IF(MONTH($K$21-WEEKDAY($K$21,1)+1+17)=MONTH($K$21),$K$21-WEEKDAY($K$21,1)+1+17,"")</x:f>
        <x:v>46155</x:v>
      </x:c>
      <x:c r="O27" s="4" t="n">
        <x:f>IF(MONTH($K$21-WEEKDAY($K$21,1)+1+18)=MONTH($K$21),$K$21-WEEKDAY($K$21,1)+1+18,"")</x:f>
        <x:v>46156</x:v>
      </x:c>
      <x:c r="P27" s="4" t="n">
        <x:f>IF(MONTH($K$21-WEEKDAY($K$21,1)+1+19)=MONTH($K$21),$K$21-WEEKDAY($K$21,1)+1+19,"")</x:f>
        <x:v>46157</x:v>
      </x:c>
      <x:c r="Q27" s="3" t="n">
        <x:f>IF(MONTH($K$21-WEEKDAY($K$21,1)+1+20)=MONTH($K$21),$K$21-WEEKDAY($K$21,1)+1+20,"")</x:f>
        <x:v>46158</x:v>
      </x:c>
      <x:c r="R27" s="1"/>
      <x:c r="S27" s="3" t="n">
        <x:f>IF(MONTH($S$21-WEEKDAY($S$21,1)+1+14)=MONTH($S$21),$S$21-WEEKDAY($S$21,1)+1+14,"")</x:f>
        <x:v>46187</x:v>
      </x:c>
      <x:c r="T27" s="4" t="n">
        <x:f>IF(MONTH($S$21-WEEKDAY($S$21,1)+1+15)=MONTH($S$21),$S$21-WEEKDAY($S$21,1)+1+15,"")</x:f>
        <x:v>46188</x:v>
      </x:c>
      <x:c r="U27" s="4" t="n">
        <x:f>IF(MONTH($S$21-WEEKDAY($S$21,1)+1+16)=MONTH($S$21),$S$21-WEEKDAY($S$21,1)+1+16,"")</x:f>
        <x:v>46189</x:v>
      </x:c>
      <x:c r="V27" s="4" t="n">
        <x:f>IF(MONTH($S$21-WEEKDAY($S$21,1)+1+17)=MONTH($S$21),$S$21-WEEKDAY($S$21,1)+1+17,"")</x:f>
        <x:v>46190</x:v>
      </x:c>
      <x:c r="W27" s="4" t="n">
        <x:f>IF(MONTH($S$21-WEEKDAY($S$21,1)+1+18)=MONTH($S$21),$S$21-WEEKDAY($S$21,1)+1+18,"")</x:f>
        <x:v>46191</x:v>
      </x:c>
      <x:c r="X27" s="4" t="n">
        <x:f>IF(MONTH($S$21-WEEKDAY($S$21,1)+1+19)=MONTH($S$21),$S$21-WEEKDAY($S$21,1)+1+19,"")</x:f>
        <x:v>46192</x:v>
      </x:c>
      <x:c r="Y27" s="3" t="n">
        <x:f>IF(MONTH($S$21-WEEKDAY($S$21,1)+1+20)=MONTH($S$21),$S$21-WEEKDAY($S$21,1)+1+20,"")</x:f>
        <x:v>46193</x:v>
      </x:c>
    </x:row>
    <x:row r="28" ht="10.5" customHeight="1">
      <x:c r="B28" s="44"/>
      <x:c r="C28" s="5"/>
      <x:c r="D28" s="5"/>
      <x:c r="E28" s="5"/>
      <x:c r="F28" s="5"/>
      <x:c r="G28" s="5"/>
      <x:c r="H28" s="5"/>
      <x:c r="I28" s="5"/>
      <x:c r="J28" s="1"/>
      <x:c r="K28" s="5"/>
      <x:c r="L28" s="5"/>
      <x:c r="M28" s="5"/>
      <x:c r="N28" s="5"/>
      <x:c r="O28" s="5"/>
      <x:c r="P28" s="5"/>
      <x:c r="Q28" s="5"/>
      <x:c r="R28" s="1"/>
      <x:c r="S28" s="5"/>
      <x:c r="T28" s="5"/>
      <x:c r="U28" s="5"/>
      <x:c r="V28" s="5"/>
      <x:c r="W28" s="5"/>
      <x:c r="X28" s="5"/>
      <x:c r="Y28" s="5"/>
    </x:row>
    <x:row r="29" ht="10.5" customHeight="1">
      <x:c r="B29" s="44"/>
      <x:c r="C29" s="3" t="n">
        <x:f>IF(MONTH($C$21-WEEKDAY($C$21,1)+1+21)=MONTH($C$21),$C$21-WEEKDAY($C$21,1)+1+21,"")</x:f>
        <x:v>46131</x:v>
      </x:c>
      <x:c r="D29" s="4" t="n">
        <x:f>IF(MONTH($C$21-WEEKDAY($C$21,1)+1+22)=MONTH($C$21),$C$21-WEEKDAY($C$21,1)+1+22,"")</x:f>
        <x:v>46132</x:v>
      </x:c>
      <x:c r="E29" s="4" t="n">
        <x:f>IF(MONTH($C$21-WEEKDAY($C$21,1)+1+23)=MONTH($C$21),$C$21-WEEKDAY($C$21,1)+1+23,"")</x:f>
        <x:v>46133</x:v>
      </x:c>
      <x:c r="F29" s="4" t="n">
        <x:f>IF(MONTH($C$21-WEEKDAY($C$21,1)+1+24)=MONTH($C$21),$C$21-WEEKDAY($C$21,1)+1+24,"")</x:f>
        <x:v>46134</x:v>
      </x:c>
      <x:c r="G29" s="4" t="n">
        <x:f>IF(MONTH($C$21-WEEKDAY($C$21,1)+1+25)=MONTH($C$21),$C$21-WEEKDAY($C$21,1)+1+25,"")</x:f>
        <x:v>46135</x:v>
      </x:c>
      <x:c r="H29" s="4" t="n">
        <x:f>IF(MONTH($C$21-WEEKDAY($C$21,1)+1+26)=MONTH($C$21),$C$21-WEEKDAY($C$21,1)+1+26,"")</x:f>
        <x:v>46136</x:v>
      </x:c>
      <x:c r="I29" s="3" t="n">
        <x:f>IF(MONTH($C$21-WEEKDAY($C$21,1)+1+27)=MONTH($C$21),$C$21-WEEKDAY($C$21,1)+1+27,"")</x:f>
        <x:v>46137</x:v>
      </x:c>
      <x:c r="J29" s="1"/>
      <x:c r="K29" s="3" t="n">
        <x:f>IF(MONTH($K$21-WEEKDAY($K$21,1)+1+21)=MONTH($K$21),$K$21-WEEKDAY($K$21,1)+1+21,"")</x:f>
        <x:v>46159</x:v>
      </x:c>
      <x:c r="L29" s="4" t="n">
        <x:f>IF(MONTH($K$21-WEEKDAY($K$21,1)+1+22)=MONTH($K$21),$K$21-WEEKDAY($K$21,1)+1+22,"")</x:f>
        <x:v>46160</x:v>
      </x:c>
      <x:c r="M29" s="4" t="n">
        <x:f>IF(MONTH($K$21-WEEKDAY($K$21,1)+1+23)=MONTH($K$21),$K$21-WEEKDAY($K$21,1)+1+23,"")</x:f>
        <x:v>46161</x:v>
      </x:c>
      <x:c r="N29" s="4" t="n">
        <x:f>IF(MONTH($K$21-WEEKDAY($K$21,1)+1+24)=MONTH($K$21),$K$21-WEEKDAY($K$21,1)+1+24,"")</x:f>
        <x:v>46162</x:v>
      </x:c>
      <x:c r="O29" s="4" t="n">
        <x:f>IF(MONTH($K$21-WEEKDAY($K$21,1)+1+25)=MONTH($K$21),$K$21-WEEKDAY($K$21,1)+1+25,"")</x:f>
        <x:v>46163</x:v>
      </x:c>
      <x:c r="P29" s="4" t="n">
        <x:f>IF(MONTH($K$21-WEEKDAY($K$21,1)+1+26)=MONTH($K$21),$K$21-WEEKDAY($K$21,1)+1+26,"")</x:f>
        <x:v>46164</x:v>
      </x:c>
      <x:c r="Q29" s="3" t="n">
        <x:f>IF(MONTH($K$21-WEEKDAY($K$21,1)+1+27)=MONTH($K$21),$K$21-WEEKDAY($K$21,1)+1+27,"")</x:f>
        <x:v>46165</x:v>
      </x:c>
      <x:c r="R29" s="1"/>
      <x:c r="S29" s="3" t="n">
        <x:f>IF(MONTH($S$21-WEEKDAY($S$21,1)+1+21)=MONTH($S$21),$S$21-WEEKDAY($S$21,1)+1+21,"")</x:f>
        <x:v>46194</x:v>
      </x:c>
      <x:c r="T29" s="4" t="n">
        <x:f>IF(MONTH($S$21-WEEKDAY($S$21,1)+1+22)=MONTH($S$21),$S$21-WEEKDAY($S$21,1)+1+22,"")</x:f>
        <x:v>46195</x:v>
      </x:c>
      <x:c r="U29" s="4" t="n">
        <x:f>IF(MONTH($S$21-WEEKDAY($S$21,1)+1+23)=MONTH($S$21),$S$21-WEEKDAY($S$21,1)+1+23,"")</x:f>
        <x:v>46196</x:v>
      </x:c>
      <x:c r="V29" s="4" t="n">
        <x:f>IF(MONTH($S$21-WEEKDAY($S$21,1)+1+24)=MONTH($S$21),$S$21-WEEKDAY($S$21,1)+1+24,"")</x:f>
        <x:v>46197</x:v>
      </x:c>
      <x:c r="W29" s="4" t="n">
        <x:f>IF(MONTH($S$21-WEEKDAY($S$21,1)+1+25)=MONTH($S$21),$S$21-WEEKDAY($S$21,1)+1+25,"")</x:f>
        <x:v>46198</x:v>
      </x:c>
      <x:c r="X29" s="4" t="n">
        <x:f>IF(MONTH($S$21-WEEKDAY($S$21,1)+1+26)=MONTH($S$21),$S$21-WEEKDAY($S$21,1)+1+26,"")</x:f>
        <x:v>46199</x:v>
      </x:c>
      <x:c r="Y29" s="3" t="n">
        <x:f>IF(MONTH($S$21-WEEKDAY($S$21,1)+1+27)=MONTH($S$21),$S$21-WEEKDAY($S$21,1)+1+27,"")</x:f>
        <x:v>46200</x:v>
      </x:c>
    </x:row>
    <x:row r="30" ht="10.5" customHeight="1">
      <x:c r="B30" s="44"/>
      <x:c r="C30" s="5"/>
      <x:c r="D30" s="5"/>
      <x:c r="E30" s="5"/>
      <x:c r="F30" s="5"/>
      <x:c r="G30" s="5"/>
      <x:c r="H30" s="5"/>
      <x:c r="I30" s="5"/>
      <x:c r="J30" s="1"/>
      <x:c r="K30" s="5"/>
      <x:c r="L30" s="5"/>
      <x:c r="M30" s="5"/>
      <x:c r="N30" s="5"/>
      <x:c r="O30" s="5"/>
      <x:c r="P30" s="5"/>
      <x:c r="Q30" s="5"/>
      <x:c r="R30" s="1"/>
      <x:c r="S30" s="5"/>
      <x:c r="T30" s="5"/>
      <x:c r="U30" s="5"/>
      <x:c r="V30" s="5"/>
      <x:c r="W30" s="5"/>
      <x:c r="X30" s="5"/>
      <x:c r="Y30" s="5"/>
    </x:row>
    <x:row r="31" ht="10.5" customHeight="1">
      <x:c r="B31" s="44"/>
      <x:c r="C31" s="3" t="n">
        <x:f>IF(MONTH($C$21-WEEKDAY($C$21,1)+1+28)=MONTH($C$21),$C$21-WEEKDAY($C$21,1)+1+28,"")</x:f>
        <x:v>46138</x:v>
      </x:c>
      <x:c r="D31" s="4" t="n">
        <x:f>IF(MONTH($C$21-WEEKDAY($C$21,1)+1+29)=MONTH($C$21),$C$21-WEEKDAY($C$21,1)+1+29,"")</x:f>
        <x:v>46139</x:v>
      </x:c>
      <x:c r="E31" s="4" t="n">
        <x:f>IF(MONTH($C$21-WEEKDAY($C$21,1)+1+30)=MONTH($C$21),$C$21-WEEKDAY($C$21,1)+1+30,"")</x:f>
        <x:v>46140</x:v>
      </x:c>
      <x:c r="F31" s="4" t="n">
        <x:f>IF(MONTH($C$21-WEEKDAY($C$21,1)+1+31)=MONTH($C$21),$C$21-WEEKDAY($C$21,1)+1+31,"")</x:f>
        <x:v>46141</x:v>
      </x:c>
      <x:c r="G31" s="4" t="n">
        <x:f>IF(MONTH($C$21-WEEKDAY($C$21,1)+1+32)=MONTH($C$21),$C$21-WEEKDAY($C$21,1)+1+32,"")</x:f>
        <x:v>46142</x:v>
      </x:c>
      <x:c r="H31" s="4" t="str">
        <x:f>IF(MONTH($C$21-WEEKDAY($C$21,1)+1+33)=MONTH($C$21),$C$21-WEEKDAY($C$21,1)+1+33,"")</x:f>
      </x:c>
      <x:c r="I31" s="3" t="str">
        <x:f>IF(MONTH($C$21-WEEKDAY($C$21,1)+1+34)=MONTH($C$21),$C$21-WEEKDAY($C$21,1)+1+34,"")</x:f>
      </x:c>
      <x:c r="J31" s="1"/>
      <x:c r="K31" s="3" t="n">
        <x:f>IF(MONTH($K$21-WEEKDAY($K$21,1)+1+28)=MONTH($K$21),$K$21-WEEKDAY($K$21,1)+1+28,"")</x:f>
        <x:v>46166</x:v>
      </x:c>
      <x:c r="L31" s="4" t="n">
        <x:f>IF(MONTH($K$21-WEEKDAY($K$21,1)+1+29)=MONTH($K$21),$K$21-WEEKDAY($K$21,1)+1+29,"")</x:f>
        <x:v>46167</x:v>
      </x:c>
      <x:c r="M31" s="4" t="n">
        <x:f>IF(MONTH($K$21-WEEKDAY($K$21,1)+1+30)=MONTH($K$21),$K$21-WEEKDAY($K$21,1)+1+30,"")</x:f>
        <x:v>46168</x:v>
      </x:c>
      <x:c r="N31" s="4" t="n">
        <x:f>IF(MONTH($K$21-WEEKDAY($K$21,1)+1+31)=MONTH($K$21),$K$21-WEEKDAY($K$21,1)+1+31,"")</x:f>
        <x:v>46169</x:v>
      </x:c>
      <x:c r="O31" s="4" t="n">
        <x:f>IF(MONTH($K$21-WEEKDAY($K$21,1)+1+32)=MONTH($K$21),$K$21-WEEKDAY($K$21,1)+1+32,"")</x:f>
        <x:v>46170</x:v>
      </x:c>
      <x:c r="P31" s="4" t="n">
        <x:f>IF(MONTH($K$21-WEEKDAY($K$21,1)+1+33)=MONTH($K$21),$K$21-WEEKDAY($K$21,1)+1+33,"")</x:f>
        <x:v>46171</x:v>
      </x:c>
      <x:c r="Q31" s="3" t="n">
        <x:f>IF(MONTH($K$21-WEEKDAY($K$21,1)+1+34)=MONTH($K$21),$K$21-WEEKDAY($K$21,1)+1+34,"")</x:f>
        <x:v>46172</x:v>
      </x:c>
      <x:c r="R31" s="1"/>
      <x:c r="S31" s="3" t="n">
        <x:f>IF(MONTH($S$21-WEEKDAY($S$21,1)+1+28)=MONTH($S$21),$S$21-WEEKDAY($S$21,1)+1+28,"")</x:f>
        <x:v>46201</x:v>
      </x:c>
      <x:c r="T31" s="4" t="n">
        <x:f>IF(MONTH($S$21-WEEKDAY($S$21,1)+1+29)=MONTH($S$21),$S$21-WEEKDAY($S$21,1)+1+29,"")</x:f>
        <x:v>46202</x:v>
      </x:c>
      <x:c r="U31" s="4" t="n">
        <x:f>IF(MONTH($S$21-WEEKDAY($S$21,1)+1+30)=MONTH($S$21),$S$21-WEEKDAY($S$21,1)+1+30,"")</x:f>
        <x:v>46203</x:v>
      </x:c>
      <x:c r="V31" s="4" t="str">
        <x:f>IF(MONTH($S$21-WEEKDAY($S$21,1)+1+31)=MONTH($S$21),$S$21-WEEKDAY($S$21,1)+1+31,"")</x:f>
      </x:c>
      <x:c r="W31" s="4" t="str">
        <x:f>IF(MONTH($S$21-WEEKDAY($S$21,1)+1+32)=MONTH($S$21),$S$21-WEEKDAY($S$21,1)+1+32,"")</x:f>
      </x:c>
      <x:c r="X31" s="4" t="str">
        <x:f>IF(MONTH($S$21-WEEKDAY($S$21,1)+1+33)=MONTH($S$21),$S$21-WEEKDAY($S$21,1)+1+33,"")</x:f>
      </x:c>
      <x:c r="Y31" s="3" t="str">
        <x:f>IF(MONTH($S$21-WEEKDAY($S$21,1)+1+34)=MONTH($S$21),$S$21-WEEKDAY($S$21,1)+1+34,"")</x:f>
      </x:c>
    </x:row>
    <x:row r="32" ht="10.5" customHeight="1">
      <x:c r="B32" s="44"/>
      <x:c r="C32" s="5"/>
      <x:c r="D32" s="5"/>
      <x:c r="E32" s="5"/>
      <x:c r="F32" s="5"/>
      <x:c r="G32" s="5"/>
      <x:c r="H32" s="5"/>
      <x:c r="I32" s="5"/>
      <x:c r="J32" s="1"/>
      <x:c r="K32" s="5"/>
      <x:c r="L32" s="5"/>
      <x:c r="M32" s="5"/>
      <x:c r="N32" s="5"/>
      <x:c r="O32" s="5"/>
      <x:c r="P32" s="5"/>
      <x:c r="Q32" s="5"/>
      <x:c r="R32" s="1"/>
      <x:c r="S32" s="5"/>
      <x:c r="T32" s="5"/>
      <x:c r="U32" s="5"/>
      <x:c r="V32" s="5"/>
      <x:c r="W32" s="5"/>
      <x:c r="X32" s="5"/>
      <x:c r="Y32" s="5"/>
    </x:row>
    <x:row r="33" ht="10.5" customHeight="1">
      <x:c r="B33" s="44"/>
      <x:c r="C33" s="3" t="str">
        <x:f>IF(MONTH($C$21-WEEKDAY($C$21,1)+1+35)=MONTH($C$21),$C$21-WEEKDAY($C$21,1)+1+35,"")</x:f>
      </x:c>
      <x:c r="D33" s="4" t="str">
        <x:f>IF(MONTH($C$21-WEEKDAY($C$21,1)+1+36)=MONTH($C$21),$C$21-WEEKDAY($C$21,1)+1+36,"")</x:f>
      </x:c>
      <x:c r="E33" s="4" t="str">
        <x:f>IF(MONTH($C$21-WEEKDAY($C$21,1)+1+37)=MONTH($C$21),$C$21-WEEKDAY($C$21,1)+1+37,"")</x:f>
      </x:c>
      <x:c r="F33" s="4" t="str">
        <x:f>IF(MONTH($C$21-WEEKDAY($C$21,1)+1+38)=MONTH($C$21),$C$21-WEEKDAY($C$21,1)+1+38,"")</x:f>
      </x:c>
      <x:c r="G33" s="4" t="str">
        <x:f>IF(MONTH($C$21-WEEKDAY($C$21,1)+1+39)=MONTH($C$21),$C$21-WEEKDAY($C$21,1)+1+39,"")</x:f>
      </x:c>
      <x:c r="H33" s="4" t="str">
        <x:f>IF(MONTH($C$21-WEEKDAY($C$21,1)+1+40)=MONTH($C$21),$C$21-WEEKDAY($C$21,1)+1+40,"")</x:f>
      </x:c>
      <x:c r="I33" s="3" t="str">
        <x:f>IF(MONTH($C$21-WEEKDAY($C$21,1)+1+41)=MONTH($C$21),$C$21-WEEKDAY($C$21,1)+1+41,"")</x:f>
      </x:c>
      <x:c r="J33" s="1"/>
      <x:c r="K33" s="3" t="n">
        <x:f>IF(MONTH($K$21-WEEKDAY($K$21,1)+1+35)=MONTH($K$21),$K$21-WEEKDAY($K$21,1)+1+35,"")</x:f>
        <x:v>46173</x:v>
      </x:c>
      <x:c r="L33" s="4" t="str">
        <x:f>IF(MONTH($K$21-WEEKDAY($K$21,1)+1+36)=MONTH($K$21),$K$21-WEEKDAY($K$21,1)+1+36,"")</x:f>
      </x:c>
      <x:c r="M33" s="4" t="str">
        <x:f>IF(MONTH($K$21-WEEKDAY($K$21,1)+1+37)=MONTH($K$21),$K$21-WEEKDAY($K$21,1)+1+37,"")</x:f>
      </x:c>
      <x:c r="N33" s="4" t="str">
        <x:f>IF(MONTH($K$21-WEEKDAY($K$21,1)+1+38)=MONTH($K$21),$K$21-WEEKDAY($K$21,1)+1+38,"")</x:f>
      </x:c>
      <x:c r="O33" s="4" t="str">
        <x:f>IF(MONTH($K$21-WEEKDAY($K$21,1)+1+39)=MONTH($K$21),$K$21-WEEKDAY($K$21,1)+1+39,"")</x:f>
      </x:c>
      <x:c r="P33" s="4" t="str">
        <x:f>IF(MONTH($K$21-WEEKDAY($K$21,1)+1+40)=MONTH($K$21),$K$21-WEEKDAY($K$21,1)+1+40,"")</x:f>
      </x:c>
      <x:c r="Q33" s="3" t="str">
        <x:f>IF(MONTH($K$21-WEEKDAY($K$21,1)+1+41)=MONTH($K$21),$K$21-WEEKDAY($K$21,1)+1+41,"")</x:f>
      </x:c>
      <x:c r="R33" s="1"/>
      <x:c r="S33" s="3" t="str">
        <x:f>IF(MONTH($S$21-WEEKDAY($S$21,1)+1+35)=MONTH($S$21),$S$21-WEEKDAY($S$21,1)+1+35,"")</x:f>
      </x:c>
      <x:c r="T33" s="4" t="str">
        <x:f>IF(MONTH($S$21-WEEKDAY($S$21,1)+1+36)=MONTH($S$21),$S$21-WEEKDAY($S$21,1)+1+36,"")</x:f>
      </x:c>
      <x:c r="U33" s="4" t="str">
        <x:f>IF(MONTH($S$21-WEEKDAY($S$21,1)+1+37)=MONTH($S$21),$S$21-WEEKDAY($S$21,1)+1+37,"")</x:f>
      </x:c>
      <x:c r="V33" s="4" t="str">
        <x:f>IF(MONTH($S$21-WEEKDAY($S$21,1)+1+38)=MONTH($S$21),$S$21-WEEKDAY($S$21,1)+1+38,"")</x:f>
      </x:c>
      <x:c r="W33" s="4" t="str">
        <x:f>IF(MONTH($S$21-WEEKDAY($S$21,1)+1+39)=MONTH($S$21),$S$21-WEEKDAY($S$21,1)+1+39,"")</x:f>
      </x:c>
      <x:c r="X33" s="4" t="str">
        <x:f>IF(MONTH($S$21-WEEKDAY($S$21,1)+1+40)=MONTH($S$21),$S$21-WEEKDAY($S$21,1)+1+40,"")</x:f>
      </x:c>
      <x:c r="Y33" s="3" t="str">
        <x:f>IF(MONTH($S$21-WEEKDAY($S$21,1)+1+41)=MONTH($S$21),$S$21-WEEKDAY($S$21,1)+1+41,"")</x:f>
      </x:c>
    </x:row>
    <x:row r="34" ht="10.5" customHeight="1">
      <x:c r="B34" s="45"/>
      <x:c r="C34" s="5"/>
      <x:c r="D34" s="5"/>
      <x:c r="E34" s="5"/>
      <x:c r="F34" s="5"/>
      <x:c r="G34" s="5"/>
      <x:c r="H34" s="5"/>
      <x:c r="I34" s="5"/>
      <x:c r="J34" s="1"/>
      <x:c r="K34" s="5"/>
      <x:c r="L34" s="5"/>
      <x:c r="M34" s="5"/>
      <x:c r="N34" s="5"/>
      <x:c r="O34" s="5"/>
      <x:c r="P34" s="5"/>
      <x:c r="Q34" s="5"/>
      <x:c r="R34" s="1"/>
      <x:c r="S34" s="5"/>
      <x:c r="T34" s="5"/>
      <x:c r="U34" s="5"/>
      <x:c r="V34" s="5"/>
      <x:c r="W34" s="5"/>
      <x:c r="X34" s="5"/>
      <x:c r="Y34" s="5"/>
    </x:row>
    <x:row r="35" ht="6.75" customHeight="1"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</x:row>
    <x:row r="36" ht="18" customHeight="1">
      <x:c r="B36" s="43" t="s">
        <x:v>12</x:v>
      </x:c>
      <x:c r="C36" s="50" t="n">
        <x:f>DATE($X$2,7,1)</x:f>
        <x:v>46204</x:v>
      </x:c>
      <x:c r="D36" s="47"/>
      <x:c r="E36" s="47"/>
      <x:c r="F36" s="47"/>
      <x:c r="G36" s="47"/>
      <x:c r="H36" s="47"/>
      <x:c r="I36" s="48"/>
      <x:c r="J36" s="1"/>
      <x:c r="K36" s="50" t="n">
        <x:f>DATE($X$2,8,1)</x:f>
        <x:v>46235</x:v>
      </x:c>
      <x:c r="L36" s="47"/>
      <x:c r="M36" s="47"/>
      <x:c r="N36" s="47"/>
      <x:c r="O36" s="47"/>
      <x:c r="P36" s="47"/>
      <x:c r="Q36" s="48"/>
      <x:c r="R36" s="1"/>
      <x:c r="S36" s="50" t="n">
        <x:f>DATE($X$2,9,1)</x:f>
        <x:v>46266</x:v>
      </x:c>
      <x:c r="T36" s="47"/>
      <x:c r="U36" s="47"/>
      <x:c r="V36" s="47"/>
      <x:c r="W36" s="47"/>
      <x:c r="X36" s="47"/>
      <x:c r="Y36" s="48"/>
    </x:row>
    <x:row r="37" ht="12.75" customHeight="1">
      <x:c r="B37" s="44"/>
      <x:c r="C37" s="2" t="s">
        <x:v>4</x:v>
      </x:c>
      <x:c r="D37" s="2" t="s">
        <x:v>5</x:v>
      </x:c>
      <x:c r="E37" s="2" t="s">
        <x:v>6</x:v>
      </x:c>
      <x:c r="F37" s="2" t="s">
        <x:v>7</x:v>
      </x:c>
      <x:c r="G37" s="2" t="s">
        <x:v>8</x:v>
      </x:c>
      <x:c r="H37" s="2" t="s">
        <x:v>9</x:v>
      </x:c>
      <x:c r="I37" s="2" t="s">
        <x:v>10</x:v>
      </x:c>
      <x:c r="J37" s="1"/>
      <x:c r="K37" s="2" t="s">
        <x:v>4</x:v>
      </x:c>
      <x:c r="L37" s="2" t="s">
        <x:v>5</x:v>
      </x:c>
      <x:c r="M37" s="2" t="s">
        <x:v>6</x:v>
      </x:c>
      <x:c r="N37" s="2" t="s">
        <x:v>7</x:v>
      </x:c>
      <x:c r="O37" s="2" t="s">
        <x:v>8</x:v>
      </x:c>
      <x:c r="P37" s="2" t="s">
        <x:v>9</x:v>
      </x:c>
      <x:c r="Q37" s="2" t="s">
        <x:v>10</x:v>
      </x:c>
      <x:c r="R37" s="1"/>
      <x:c r="S37" s="2" t="s">
        <x:v>4</x:v>
      </x:c>
      <x:c r="T37" s="2" t="s">
        <x:v>5</x:v>
      </x:c>
      <x:c r="U37" s="2" t="s">
        <x:v>6</x:v>
      </x:c>
      <x:c r="V37" s="2" t="s">
        <x:v>7</x:v>
      </x:c>
      <x:c r="W37" s="2" t="s">
        <x:v>8</x:v>
      </x:c>
      <x:c r="X37" s="2" t="s">
        <x:v>9</x:v>
      </x:c>
      <x:c r="Y37" s="2" t="s">
        <x:v>10</x:v>
      </x:c>
    </x:row>
    <x:row r="38" ht="10.5" customHeight="1">
      <x:c r="B38" s="44"/>
      <x:c r="C38" s="3" t="str">
        <x:f>IF(MONTH($C$36-WEEKDAY($C$36,1)+1+0)=MONTH($C$36),$C$36-WEEKDAY($C$36,1)+1+0,"")</x:f>
      </x:c>
      <x:c r="D38" s="4" t="str">
        <x:f>IF(MONTH($C$36-WEEKDAY($C$36,1)+1+1)=MONTH($C$36),$C$36-WEEKDAY($C$36,1)+1+1,"")</x:f>
      </x:c>
      <x:c r="E38" s="4" t="str">
        <x:f>IF(MONTH($C$36-WEEKDAY($C$36,1)+1+2)=MONTH($C$36),$C$36-WEEKDAY($C$36,1)+1+2,"")</x:f>
      </x:c>
      <x:c r="F38" s="4" t="n">
        <x:f>IF(MONTH($C$36-WEEKDAY($C$36,1)+1+3)=MONTH($C$36),$C$36-WEEKDAY($C$36,1)+1+3,"")</x:f>
        <x:v>46204</x:v>
      </x:c>
      <x:c r="G38" s="4" t="n">
        <x:f>IF(MONTH($C$36-WEEKDAY($C$36,1)+1+4)=MONTH($C$36),$C$36-WEEKDAY($C$36,1)+1+4,"")</x:f>
        <x:v>46205</x:v>
      </x:c>
      <x:c r="H38" s="4" t="n">
        <x:f>IF(MONTH($C$36-WEEKDAY($C$36,1)+1+5)=MONTH($C$36),$C$36-WEEKDAY($C$36,1)+1+5,"")</x:f>
        <x:v>46206</x:v>
      </x:c>
      <x:c r="I38" s="3" t="n">
        <x:f>IF(MONTH($C$36-WEEKDAY($C$36,1)+1+6)=MONTH($C$36),$C$36-WEEKDAY($C$36,1)+1+6,"")</x:f>
        <x:v>46207</x:v>
      </x:c>
      <x:c r="J38" s="1"/>
      <x:c r="K38" s="3" t="str">
        <x:f>IF(MONTH($K$36-WEEKDAY($K$36,1)+1+0)=MONTH($K$36),$K$36-WEEKDAY($K$36,1)+1+0,"")</x:f>
      </x:c>
      <x:c r="L38" s="4" t="str">
        <x:f>IF(MONTH($K$36-WEEKDAY($K$36,1)+1+1)=MONTH($K$36),$K$36-WEEKDAY($K$36,1)+1+1,"")</x:f>
      </x:c>
      <x:c r="M38" s="4" t="str">
        <x:f>IF(MONTH($K$36-WEEKDAY($K$36,1)+1+2)=MONTH($K$36),$K$36-WEEKDAY($K$36,1)+1+2,"")</x:f>
      </x:c>
      <x:c r="N38" s="4" t="str">
        <x:f>IF(MONTH($K$36-WEEKDAY($K$36,1)+1+3)=MONTH($K$36),$K$36-WEEKDAY($K$36,1)+1+3,"")</x:f>
      </x:c>
      <x:c r="O38" s="4" t="str">
        <x:f>IF(MONTH($K$36-WEEKDAY($K$36,1)+1+4)=MONTH($K$36),$K$36-WEEKDAY($K$36,1)+1+4,"")</x:f>
      </x:c>
      <x:c r="P38" s="4" t="str">
        <x:f>IF(MONTH($K$36-WEEKDAY($K$36,1)+1+5)=MONTH($K$36),$K$36-WEEKDAY($K$36,1)+1+5,"")</x:f>
      </x:c>
      <x:c r="Q38" s="3" t="n">
        <x:f>IF(MONTH($K$36-WEEKDAY($K$36,1)+1+6)=MONTH($K$36),$K$36-WEEKDAY($K$36,1)+1+6,"")</x:f>
        <x:v>46235</x:v>
      </x:c>
      <x:c r="R38" s="1"/>
      <x:c r="S38" s="3" t="str">
        <x:f>IF(MONTH($S$36-WEEKDAY($S$36,1)+1+0)=MONTH($S$36),$S$36-WEEKDAY($S$36,1)+1+0,"")</x:f>
      </x:c>
      <x:c r="T38" s="4" t="str">
        <x:f>IF(MONTH($S$36-WEEKDAY($S$36,1)+1+1)=MONTH($S$36),$S$36-WEEKDAY($S$36,1)+1+1,"")</x:f>
      </x:c>
      <x:c r="U38" s="4" t="n">
        <x:f>IF(MONTH($S$36-WEEKDAY($S$36,1)+1+2)=MONTH($S$36),$S$36-WEEKDAY($S$36,1)+1+2,"")</x:f>
        <x:v>46266</x:v>
      </x:c>
      <x:c r="V38" s="4" t="n">
        <x:f>IF(MONTH($S$36-WEEKDAY($S$36,1)+1+3)=MONTH($S$36),$S$36-WEEKDAY($S$36,1)+1+3,"")</x:f>
        <x:v>46267</x:v>
      </x:c>
      <x:c r="W38" s="4" t="n">
        <x:f>IF(MONTH($S$36-WEEKDAY($S$36,1)+1+4)=MONTH($S$36),$S$36-WEEKDAY($S$36,1)+1+4,"")</x:f>
        <x:v>46268</x:v>
      </x:c>
      <x:c r="X38" s="4" t="n">
        <x:f>IF(MONTH($S$36-WEEKDAY($S$36,1)+1+5)=MONTH($S$36),$S$36-WEEKDAY($S$36,1)+1+5,"")</x:f>
        <x:v>46269</x:v>
      </x:c>
      <x:c r="Y38" s="3" t="n">
        <x:f>IF(MONTH($S$36-WEEKDAY($S$36,1)+1+6)=MONTH($S$36),$S$36-WEEKDAY($S$36,1)+1+6,"")</x:f>
        <x:v>46270</x:v>
      </x:c>
    </x:row>
    <x:row r="39" ht="10.5" customHeight="1">
      <x:c r="B39" s="44"/>
      <x:c r="C39" s="5"/>
      <x:c r="D39" s="5"/>
      <x:c r="E39" s="5"/>
      <x:c r="F39" s="5"/>
      <x:c r="G39" s="5"/>
      <x:c r="H39" s="5"/>
      <x:c r="I39" s="5"/>
      <x:c r="J39" s="1"/>
      <x:c r="K39" s="5"/>
      <x:c r="L39" s="5"/>
      <x:c r="M39" s="5"/>
      <x:c r="N39" s="5"/>
      <x:c r="O39" s="5"/>
      <x:c r="P39" s="5"/>
      <x:c r="Q39" s="5"/>
      <x:c r="R39" s="1"/>
      <x:c r="S39" s="5"/>
      <x:c r="T39" s="5"/>
      <x:c r="U39" s="5"/>
      <x:c r="V39" s="5"/>
      <x:c r="W39" s="5"/>
      <x:c r="X39" s="5"/>
      <x:c r="Y39" s="5"/>
    </x:row>
    <x:row r="40" ht="10.5" customHeight="1">
      <x:c r="B40" s="44"/>
      <x:c r="C40" s="3" t="n">
        <x:f>IF(MONTH($C$36-WEEKDAY($C$36,1)+1+7)=MONTH($C$36),$C$36-WEEKDAY($C$36,1)+1+7,"")</x:f>
        <x:v>46208</x:v>
      </x:c>
      <x:c r="D40" s="4" t="n">
        <x:f>IF(MONTH($C$36-WEEKDAY($C$36,1)+1+8)=MONTH($C$36),$C$36-WEEKDAY($C$36,1)+1+8,"")</x:f>
        <x:v>46209</x:v>
      </x:c>
      <x:c r="E40" s="4" t="n">
        <x:f>IF(MONTH($C$36-WEEKDAY($C$36,1)+1+9)=MONTH($C$36),$C$36-WEEKDAY($C$36,1)+1+9,"")</x:f>
        <x:v>46210</x:v>
      </x:c>
      <x:c r="F40" s="4" t="n">
        <x:f>IF(MONTH($C$36-WEEKDAY($C$36,1)+1+10)=MONTH($C$36),$C$36-WEEKDAY($C$36,1)+1+10,"")</x:f>
        <x:v>46211</x:v>
      </x:c>
      <x:c r="G40" s="4" t="n">
        <x:f>IF(MONTH($C$36-WEEKDAY($C$36,1)+1+11)=MONTH($C$36),$C$36-WEEKDAY($C$36,1)+1+11,"")</x:f>
        <x:v>46212</x:v>
      </x:c>
      <x:c r="H40" s="4" t="n">
        <x:f>IF(MONTH($C$36-WEEKDAY($C$36,1)+1+12)=MONTH($C$36),$C$36-WEEKDAY($C$36,1)+1+12,"")</x:f>
        <x:v>46213</x:v>
      </x:c>
      <x:c r="I40" s="3" t="n">
        <x:f>IF(MONTH($C$36-WEEKDAY($C$36,1)+1+13)=MONTH($C$36),$C$36-WEEKDAY($C$36,1)+1+13,"")</x:f>
        <x:v>46214</x:v>
      </x:c>
      <x:c r="J40" s="1"/>
      <x:c r="K40" s="3" t="n">
        <x:f>IF(MONTH($K$36-WEEKDAY($K$36,1)+1+7)=MONTH($K$36),$K$36-WEEKDAY($K$36,1)+1+7,"")</x:f>
        <x:v>46236</x:v>
      </x:c>
      <x:c r="L40" s="4" t="n">
        <x:f>IF(MONTH($K$36-WEEKDAY($K$36,1)+1+8)=MONTH($K$36),$K$36-WEEKDAY($K$36,1)+1+8,"")</x:f>
        <x:v>46237</x:v>
      </x:c>
      <x:c r="M40" s="4" t="n">
        <x:f>IF(MONTH($K$36-WEEKDAY($K$36,1)+1+9)=MONTH($K$36),$K$36-WEEKDAY($K$36,1)+1+9,"")</x:f>
        <x:v>46238</x:v>
      </x:c>
      <x:c r="N40" s="4" t="n">
        <x:f>IF(MONTH($K$36-WEEKDAY($K$36,1)+1+10)=MONTH($K$36),$K$36-WEEKDAY($K$36,1)+1+10,"")</x:f>
        <x:v>46239</x:v>
      </x:c>
      <x:c r="O40" s="4" t="n">
        <x:f>IF(MONTH($K$36-WEEKDAY($K$36,1)+1+11)=MONTH($K$36),$K$36-WEEKDAY($K$36,1)+1+11,"")</x:f>
        <x:v>46240</x:v>
      </x:c>
      <x:c r="P40" s="4" t="n">
        <x:f>IF(MONTH($K$36-WEEKDAY($K$36,1)+1+12)=MONTH($K$36),$K$36-WEEKDAY($K$36,1)+1+12,"")</x:f>
        <x:v>46241</x:v>
      </x:c>
      <x:c r="Q40" s="3" t="n">
        <x:f>IF(MONTH($K$36-WEEKDAY($K$36,1)+1+13)=MONTH($K$36),$K$36-WEEKDAY($K$36,1)+1+13,"")</x:f>
        <x:v>46242</x:v>
      </x:c>
      <x:c r="R40" s="1"/>
      <x:c r="S40" s="3" t="n">
        <x:f>IF(MONTH($S$36-WEEKDAY($S$36,1)+1+7)=MONTH($S$36),$S$36-WEEKDAY($S$36,1)+1+7,"")</x:f>
        <x:v>46271</x:v>
      </x:c>
      <x:c r="T40" s="4" t="n">
        <x:f>IF(MONTH($S$36-WEEKDAY($S$36,1)+1+8)=MONTH($S$36),$S$36-WEEKDAY($S$36,1)+1+8,"")</x:f>
        <x:v>46272</x:v>
      </x:c>
      <x:c r="U40" s="4" t="n">
        <x:f>IF(MONTH($S$36-WEEKDAY($S$36,1)+1+9)=MONTH($S$36),$S$36-WEEKDAY($S$36,1)+1+9,"")</x:f>
        <x:v>46273</x:v>
      </x:c>
      <x:c r="V40" s="4" t="n">
        <x:f>IF(MONTH($S$36-WEEKDAY($S$36,1)+1+10)=MONTH($S$36),$S$36-WEEKDAY($S$36,1)+1+10,"")</x:f>
        <x:v>46274</x:v>
      </x:c>
      <x:c r="W40" s="4" t="n">
        <x:f>IF(MONTH($S$36-WEEKDAY($S$36,1)+1+11)=MONTH($S$36),$S$36-WEEKDAY($S$36,1)+1+11,"")</x:f>
        <x:v>46275</x:v>
      </x:c>
      <x:c r="X40" s="4" t="n">
        <x:f>IF(MONTH($S$36-WEEKDAY($S$36,1)+1+12)=MONTH($S$36),$S$36-WEEKDAY($S$36,1)+1+12,"")</x:f>
        <x:v>46276</x:v>
      </x:c>
      <x:c r="Y40" s="3" t="n">
        <x:f>IF(MONTH($S$36-WEEKDAY($S$36,1)+1+13)=MONTH($S$36),$S$36-WEEKDAY($S$36,1)+1+13,"")</x:f>
        <x:v>46277</x:v>
      </x:c>
    </x:row>
    <x:row r="41" ht="10.5" customHeight="1">
      <x:c r="B41" s="44"/>
      <x:c r="C41" s="5"/>
      <x:c r="D41" s="5"/>
      <x:c r="E41" s="5"/>
      <x:c r="F41" s="5"/>
      <x:c r="G41" s="5"/>
      <x:c r="H41" s="5"/>
      <x:c r="I41" s="5"/>
      <x:c r="J41" s="1"/>
      <x:c r="K41" s="5"/>
      <x:c r="L41" s="5"/>
      <x:c r="M41" s="5"/>
      <x:c r="N41" s="5"/>
      <x:c r="O41" s="5"/>
      <x:c r="P41" s="5"/>
      <x:c r="Q41" s="5"/>
      <x:c r="R41" s="1"/>
      <x:c r="S41" s="5"/>
      <x:c r="T41" s="5"/>
      <x:c r="U41" s="5"/>
      <x:c r="V41" s="5"/>
      <x:c r="W41" s="5"/>
      <x:c r="X41" s="5"/>
      <x:c r="Y41" s="5"/>
    </x:row>
    <x:row r="42" ht="10.5" customHeight="1">
      <x:c r="B42" s="44"/>
      <x:c r="C42" s="3" t="n">
        <x:f>IF(MONTH($C$36-WEEKDAY($C$36,1)+1+14)=MONTH($C$36),$C$36-WEEKDAY($C$36,1)+1+14,"")</x:f>
        <x:v>46215</x:v>
      </x:c>
      <x:c r="D42" s="4" t="n">
        <x:f>IF(MONTH($C$36-WEEKDAY($C$36,1)+1+15)=MONTH($C$36),$C$36-WEEKDAY($C$36,1)+1+15,"")</x:f>
        <x:v>46216</x:v>
      </x:c>
      <x:c r="E42" s="4" t="n">
        <x:f>IF(MONTH($C$36-WEEKDAY($C$36,1)+1+16)=MONTH($C$36),$C$36-WEEKDAY($C$36,1)+1+16,"")</x:f>
        <x:v>46217</x:v>
      </x:c>
      <x:c r="F42" s="4" t="n">
        <x:f>IF(MONTH($C$36-WEEKDAY($C$36,1)+1+17)=MONTH($C$36),$C$36-WEEKDAY($C$36,1)+1+17,"")</x:f>
        <x:v>46218</x:v>
      </x:c>
      <x:c r="G42" s="4" t="n">
        <x:f>IF(MONTH($C$36-WEEKDAY($C$36,1)+1+18)=MONTH($C$36),$C$36-WEEKDAY($C$36,1)+1+18,"")</x:f>
        <x:v>46219</x:v>
      </x:c>
      <x:c r="H42" s="4" t="n">
        <x:f>IF(MONTH($C$36-WEEKDAY($C$36,1)+1+19)=MONTH($C$36),$C$36-WEEKDAY($C$36,1)+1+19,"")</x:f>
        <x:v>46220</x:v>
      </x:c>
      <x:c r="I42" s="3" t="n">
        <x:f>IF(MONTH($C$36-WEEKDAY($C$36,1)+1+20)=MONTH($C$36),$C$36-WEEKDAY($C$36,1)+1+20,"")</x:f>
        <x:v>46221</x:v>
      </x:c>
      <x:c r="J42" s="1"/>
      <x:c r="K42" s="3" t="n">
        <x:f>IF(MONTH($K$36-WEEKDAY($K$36,1)+1+14)=MONTH($K$36),$K$36-WEEKDAY($K$36,1)+1+14,"")</x:f>
        <x:v>46243</x:v>
      </x:c>
      <x:c r="L42" s="4" t="n">
        <x:f>IF(MONTH($K$36-WEEKDAY($K$36,1)+1+15)=MONTH($K$36),$K$36-WEEKDAY($K$36,1)+1+15,"")</x:f>
        <x:v>46244</x:v>
      </x:c>
      <x:c r="M42" s="4" t="n">
        <x:f>IF(MONTH($K$36-WEEKDAY($K$36,1)+1+16)=MONTH($K$36),$K$36-WEEKDAY($K$36,1)+1+16,"")</x:f>
        <x:v>46245</x:v>
      </x:c>
      <x:c r="N42" s="4" t="n">
        <x:f>IF(MONTH($K$36-WEEKDAY($K$36,1)+1+17)=MONTH($K$36),$K$36-WEEKDAY($K$36,1)+1+17,"")</x:f>
        <x:v>46246</x:v>
      </x:c>
      <x:c r="O42" s="4" t="n">
        <x:f>IF(MONTH($K$36-WEEKDAY($K$36,1)+1+18)=MONTH($K$36),$K$36-WEEKDAY($K$36,1)+1+18,"")</x:f>
        <x:v>46247</x:v>
      </x:c>
      <x:c r="P42" s="4" t="n">
        <x:f>IF(MONTH($K$36-WEEKDAY($K$36,1)+1+19)=MONTH($K$36),$K$36-WEEKDAY($K$36,1)+1+19,"")</x:f>
        <x:v>46248</x:v>
      </x:c>
      <x:c r="Q42" s="3" t="n">
        <x:f>IF(MONTH($K$36-WEEKDAY($K$36,1)+1+20)=MONTH($K$36),$K$36-WEEKDAY($K$36,1)+1+20,"")</x:f>
        <x:v>46249</x:v>
      </x:c>
      <x:c r="R42" s="1"/>
      <x:c r="S42" s="3" t="n">
        <x:f>IF(MONTH($S$36-WEEKDAY($S$36,1)+1+14)=MONTH($S$36),$S$36-WEEKDAY($S$36,1)+1+14,"")</x:f>
        <x:v>46278</x:v>
      </x:c>
      <x:c r="T42" s="4" t="n">
        <x:f>IF(MONTH($S$36-WEEKDAY($S$36,1)+1+15)=MONTH($S$36),$S$36-WEEKDAY($S$36,1)+1+15,"")</x:f>
        <x:v>46279</x:v>
      </x:c>
      <x:c r="U42" s="4" t="n">
        <x:f>IF(MONTH($S$36-WEEKDAY($S$36,1)+1+16)=MONTH($S$36),$S$36-WEEKDAY($S$36,1)+1+16,"")</x:f>
        <x:v>46280</x:v>
      </x:c>
      <x:c r="V42" s="4" t="n">
        <x:f>IF(MONTH($S$36-WEEKDAY($S$36,1)+1+17)=MONTH($S$36),$S$36-WEEKDAY($S$36,1)+1+17,"")</x:f>
        <x:v>46281</x:v>
      </x:c>
      <x:c r="W42" s="4" t="n">
        <x:f>IF(MONTH($S$36-WEEKDAY($S$36,1)+1+18)=MONTH($S$36),$S$36-WEEKDAY($S$36,1)+1+18,"")</x:f>
        <x:v>46282</x:v>
      </x:c>
      <x:c r="X42" s="4" t="n">
        <x:f>IF(MONTH($S$36-WEEKDAY($S$36,1)+1+19)=MONTH($S$36),$S$36-WEEKDAY($S$36,1)+1+19,"")</x:f>
        <x:v>46283</x:v>
      </x:c>
      <x:c r="Y42" s="3" t="n">
        <x:f>IF(MONTH($S$36-WEEKDAY($S$36,1)+1+20)=MONTH($S$36),$S$36-WEEKDAY($S$36,1)+1+20,"")</x:f>
        <x:v>46284</x:v>
      </x:c>
    </x:row>
    <x:row r="43" ht="10.5" customHeight="1">
      <x:c r="B43" s="44"/>
      <x:c r="C43" s="5"/>
      <x:c r="D43" s="5"/>
      <x:c r="E43" s="5"/>
      <x:c r="F43" s="5"/>
      <x:c r="G43" s="5"/>
      <x:c r="H43" s="5"/>
      <x:c r="I43" s="5"/>
      <x:c r="J43" s="1"/>
      <x:c r="K43" s="5"/>
      <x:c r="L43" s="5"/>
      <x:c r="M43" s="5"/>
      <x:c r="N43" s="5"/>
      <x:c r="O43" s="5"/>
      <x:c r="P43" s="5"/>
      <x:c r="Q43" s="5"/>
      <x:c r="R43" s="1"/>
      <x:c r="S43" s="5"/>
      <x:c r="T43" s="5"/>
      <x:c r="U43" s="5"/>
      <x:c r="V43" s="5"/>
      <x:c r="W43" s="5"/>
      <x:c r="X43" s="5"/>
      <x:c r="Y43" s="5"/>
    </x:row>
    <x:row r="44" ht="10.5" customHeight="1">
      <x:c r="B44" s="44"/>
      <x:c r="C44" s="3" t="n">
        <x:f>IF(MONTH($C$36-WEEKDAY($C$36,1)+1+21)=MONTH($C$36),$C$36-WEEKDAY($C$36,1)+1+21,"")</x:f>
        <x:v>46222</x:v>
      </x:c>
      <x:c r="D44" s="4" t="n">
        <x:f>IF(MONTH($C$36-WEEKDAY($C$36,1)+1+22)=MONTH($C$36),$C$36-WEEKDAY($C$36,1)+1+22,"")</x:f>
        <x:v>46223</x:v>
      </x:c>
      <x:c r="E44" s="4" t="n">
        <x:f>IF(MONTH($C$36-WEEKDAY($C$36,1)+1+23)=MONTH($C$36),$C$36-WEEKDAY($C$36,1)+1+23,"")</x:f>
        <x:v>46224</x:v>
      </x:c>
      <x:c r="F44" s="4" t="n">
        <x:f>IF(MONTH($C$36-WEEKDAY($C$36,1)+1+24)=MONTH($C$36),$C$36-WEEKDAY($C$36,1)+1+24,"")</x:f>
        <x:v>46225</x:v>
      </x:c>
      <x:c r="G44" s="4" t="n">
        <x:f>IF(MONTH($C$36-WEEKDAY($C$36,1)+1+25)=MONTH($C$36),$C$36-WEEKDAY($C$36,1)+1+25,"")</x:f>
        <x:v>46226</x:v>
      </x:c>
      <x:c r="H44" s="4" t="n">
        <x:f>IF(MONTH($C$36-WEEKDAY($C$36,1)+1+26)=MONTH($C$36),$C$36-WEEKDAY($C$36,1)+1+26,"")</x:f>
        <x:v>46227</x:v>
      </x:c>
      <x:c r="I44" s="3" t="n">
        <x:f>IF(MONTH($C$36-WEEKDAY($C$36,1)+1+27)=MONTH($C$36),$C$36-WEEKDAY($C$36,1)+1+27,"")</x:f>
        <x:v>46228</x:v>
      </x:c>
      <x:c r="J44" s="1"/>
      <x:c r="K44" s="3" t="n">
        <x:f>IF(MONTH($K$36-WEEKDAY($K$36,1)+1+21)=MONTH($K$36),$K$36-WEEKDAY($K$36,1)+1+21,"")</x:f>
        <x:v>46250</x:v>
      </x:c>
      <x:c r="L44" s="4" t="n">
        <x:f>IF(MONTH($K$36-WEEKDAY($K$36,1)+1+22)=MONTH($K$36),$K$36-WEEKDAY($K$36,1)+1+22,"")</x:f>
        <x:v>46251</x:v>
      </x:c>
      <x:c r="M44" s="4" t="n">
        <x:f>IF(MONTH($K$36-WEEKDAY($K$36,1)+1+23)=MONTH($K$36),$K$36-WEEKDAY($K$36,1)+1+23,"")</x:f>
        <x:v>46252</x:v>
      </x:c>
      <x:c r="N44" s="4" t="n">
        <x:f>IF(MONTH($K$36-WEEKDAY($K$36,1)+1+24)=MONTH($K$36),$K$36-WEEKDAY($K$36,1)+1+24,"")</x:f>
        <x:v>46253</x:v>
      </x:c>
      <x:c r="O44" s="4" t="n">
        <x:f>IF(MONTH($K$36-WEEKDAY($K$36,1)+1+25)=MONTH($K$36),$K$36-WEEKDAY($K$36,1)+1+25,"")</x:f>
        <x:v>46254</x:v>
      </x:c>
      <x:c r="P44" s="4" t="n">
        <x:f>IF(MONTH($K$36-WEEKDAY($K$36,1)+1+26)=MONTH($K$36),$K$36-WEEKDAY($K$36,1)+1+26,"")</x:f>
        <x:v>46255</x:v>
      </x:c>
      <x:c r="Q44" s="3" t="n">
        <x:f>IF(MONTH($K$36-WEEKDAY($K$36,1)+1+27)=MONTH($K$36),$K$36-WEEKDAY($K$36,1)+1+27,"")</x:f>
        <x:v>46256</x:v>
      </x:c>
      <x:c r="R44" s="1"/>
      <x:c r="S44" s="3" t="n">
        <x:f>IF(MONTH($S$36-WEEKDAY($S$36,1)+1+21)=MONTH($S$36),$S$36-WEEKDAY($S$36,1)+1+21,"")</x:f>
        <x:v>46285</x:v>
      </x:c>
      <x:c r="T44" s="4" t="n">
        <x:f>IF(MONTH($S$36-WEEKDAY($S$36,1)+1+22)=MONTH($S$36),$S$36-WEEKDAY($S$36,1)+1+22,"")</x:f>
        <x:v>46286</x:v>
      </x:c>
      <x:c r="U44" s="4" t="n">
        <x:f>IF(MONTH($S$36-WEEKDAY($S$36,1)+1+23)=MONTH($S$36),$S$36-WEEKDAY($S$36,1)+1+23,"")</x:f>
        <x:v>46287</x:v>
      </x:c>
      <x:c r="V44" s="4" t="n">
        <x:f>IF(MONTH($S$36-WEEKDAY($S$36,1)+1+24)=MONTH($S$36),$S$36-WEEKDAY($S$36,1)+1+24,"")</x:f>
        <x:v>46288</x:v>
      </x:c>
      <x:c r="W44" s="4" t="n">
        <x:f>IF(MONTH($S$36-WEEKDAY($S$36,1)+1+25)=MONTH($S$36),$S$36-WEEKDAY($S$36,1)+1+25,"")</x:f>
        <x:v>46289</x:v>
      </x:c>
      <x:c r="X44" s="4" t="n">
        <x:f>IF(MONTH($S$36-WEEKDAY($S$36,1)+1+26)=MONTH($S$36),$S$36-WEEKDAY($S$36,1)+1+26,"")</x:f>
        <x:v>46290</x:v>
      </x:c>
      <x:c r="Y44" s="3" t="n">
        <x:f>IF(MONTH($S$36-WEEKDAY($S$36,1)+1+27)=MONTH($S$36),$S$36-WEEKDAY($S$36,1)+1+27,"")</x:f>
        <x:v>46291</x:v>
      </x:c>
    </x:row>
    <x:row r="45" ht="10.5" customHeight="1">
      <x:c r="B45" s="44"/>
      <x:c r="C45" s="5"/>
      <x:c r="D45" s="5"/>
      <x:c r="E45" s="5"/>
      <x:c r="F45" s="5"/>
      <x:c r="G45" s="5"/>
      <x:c r="H45" s="5"/>
      <x:c r="I45" s="5"/>
      <x:c r="J45" s="1"/>
      <x:c r="K45" s="5"/>
      <x:c r="L45" s="5"/>
      <x:c r="M45" s="5"/>
      <x:c r="N45" s="5"/>
      <x:c r="O45" s="5"/>
      <x:c r="P45" s="5"/>
      <x:c r="Q45" s="5"/>
      <x:c r="R45" s="1"/>
      <x:c r="S45" s="5"/>
      <x:c r="T45" s="5"/>
      <x:c r="U45" s="5"/>
      <x:c r="V45" s="5"/>
      <x:c r="W45" s="5"/>
      <x:c r="X45" s="5"/>
      <x:c r="Y45" s="5"/>
    </x:row>
    <x:row r="46" ht="10.5" customHeight="1">
      <x:c r="B46" s="44"/>
      <x:c r="C46" s="3" t="n">
        <x:f>IF(MONTH($C$36-WEEKDAY($C$36,1)+1+28)=MONTH($C$36),$C$36-WEEKDAY($C$36,1)+1+28,"")</x:f>
        <x:v>46229</x:v>
      </x:c>
      <x:c r="D46" s="4" t="n">
        <x:f>IF(MONTH($C$36-WEEKDAY($C$36,1)+1+29)=MONTH($C$36),$C$36-WEEKDAY($C$36,1)+1+29,"")</x:f>
        <x:v>46230</x:v>
      </x:c>
      <x:c r="E46" s="4" t="n">
        <x:f>IF(MONTH($C$36-WEEKDAY($C$36,1)+1+30)=MONTH($C$36),$C$36-WEEKDAY($C$36,1)+1+30,"")</x:f>
        <x:v>46231</x:v>
      </x:c>
      <x:c r="F46" s="4" t="n">
        <x:f>IF(MONTH($C$36-WEEKDAY($C$36,1)+1+31)=MONTH($C$36),$C$36-WEEKDAY($C$36,1)+1+31,"")</x:f>
        <x:v>46232</x:v>
      </x:c>
      <x:c r="G46" s="4" t="n">
        <x:f>IF(MONTH($C$36-WEEKDAY($C$36,1)+1+32)=MONTH($C$36),$C$36-WEEKDAY($C$36,1)+1+32,"")</x:f>
        <x:v>46233</x:v>
      </x:c>
      <x:c r="H46" s="4" t="n">
        <x:f>IF(MONTH($C$36-WEEKDAY($C$36,1)+1+33)=MONTH($C$36),$C$36-WEEKDAY($C$36,1)+1+33,"")</x:f>
        <x:v>46234</x:v>
      </x:c>
      <x:c r="I46" s="3" t="str">
        <x:f>IF(MONTH($C$36-WEEKDAY($C$36,1)+1+34)=MONTH($C$36),$C$36-WEEKDAY($C$36,1)+1+34,"")</x:f>
      </x:c>
      <x:c r="J46" s="1"/>
      <x:c r="K46" s="3" t="n">
        <x:f>IF(MONTH($K$36-WEEKDAY($K$36,1)+1+28)=MONTH($K$36),$K$36-WEEKDAY($K$36,1)+1+28,"")</x:f>
        <x:v>46257</x:v>
      </x:c>
      <x:c r="L46" s="4" t="n">
        <x:f>IF(MONTH($K$36-WEEKDAY($K$36,1)+1+29)=MONTH($K$36),$K$36-WEEKDAY($K$36,1)+1+29,"")</x:f>
        <x:v>46258</x:v>
      </x:c>
      <x:c r="M46" s="4" t="n">
        <x:f>IF(MONTH($K$36-WEEKDAY($K$36,1)+1+30)=MONTH($K$36),$K$36-WEEKDAY($K$36,1)+1+30,"")</x:f>
        <x:v>46259</x:v>
      </x:c>
      <x:c r="N46" s="4" t="n">
        <x:f>IF(MONTH($K$36-WEEKDAY($K$36,1)+1+31)=MONTH($K$36),$K$36-WEEKDAY($K$36,1)+1+31,"")</x:f>
        <x:v>46260</x:v>
      </x:c>
      <x:c r="O46" s="4" t="n">
        <x:f>IF(MONTH($K$36-WEEKDAY($K$36,1)+1+32)=MONTH($K$36),$K$36-WEEKDAY($K$36,1)+1+32,"")</x:f>
        <x:v>46261</x:v>
      </x:c>
      <x:c r="P46" s="4" t="n">
        <x:f>IF(MONTH($K$36-WEEKDAY($K$36,1)+1+33)=MONTH($K$36),$K$36-WEEKDAY($K$36,1)+1+33,"")</x:f>
        <x:v>46262</x:v>
      </x:c>
      <x:c r="Q46" s="3" t="n">
        <x:f>IF(MONTH($K$36-WEEKDAY($K$36,1)+1+34)=MONTH($K$36),$K$36-WEEKDAY($K$36,1)+1+34,"")</x:f>
        <x:v>46263</x:v>
      </x:c>
      <x:c r="R46" s="1"/>
      <x:c r="S46" s="3" t="n">
        <x:f>IF(MONTH($S$36-WEEKDAY($S$36,1)+1+28)=MONTH($S$36),$S$36-WEEKDAY($S$36,1)+1+28,"")</x:f>
        <x:v>46292</x:v>
      </x:c>
      <x:c r="T46" s="4" t="n">
        <x:f>IF(MONTH($S$36-WEEKDAY($S$36,1)+1+29)=MONTH($S$36),$S$36-WEEKDAY($S$36,1)+1+29,"")</x:f>
        <x:v>46293</x:v>
      </x:c>
      <x:c r="U46" s="4" t="n">
        <x:f>IF(MONTH($S$36-WEEKDAY($S$36,1)+1+30)=MONTH($S$36),$S$36-WEEKDAY($S$36,1)+1+30,"")</x:f>
        <x:v>46294</x:v>
      </x:c>
      <x:c r="V46" s="4" t="n">
        <x:f>IF(MONTH($S$36-WEEKDAY($S$36,1)+1+31)=MONTH($S$36),$S$36-WEEKDAY($S$36,1)+1+31,"")</x:f>
        <x:v>46295</x:v>
      </x:c>
      <x:c r="W46" s="4" t="str">
        <x:f>IF(MONTH($S$36-WEEKDAY($S$36,1)+1+32)=MONTH($S$36),$S$36-WEEKDAY($S$36,1)+1+32,"")</x:f>
      </x:c>
      <x:c r="X46" s="4" t="str">
        <x:f>IF(MONTH($S$36-WEEKDAY($S$36,1)+1+33)=MONTH($S$36),$S$36-WEEKDAY($S$36,1)+1+33,"")</x:f>
      </x:c>
      <x:c r="Y46" s="3" t="str">
        <x:f>IF(MONTH($S$36-WEEKDAY($S$36,1)+1+34)=MONTH($S$36),$S$36-WEEKDAY($S$36,1)+1+34,"")</x:f>
      </x:c>
    </x:row>
    <x:row r="47" ht="10.5" customHeight="1">
      <x:c r="B47" s="44"/>
      <x:c r="C47" s="5"/>
      <x:c r="D47" s="5"/>
      <x:c r="E47" s="5"/>
      <x:c r="F47" s="5"/>
      <x:c r="G47" s="5"/>
      <x:c r="H47" s="5"/>
      <x:c r="I47" s="5"/>
      <x:c r="J47" s="1"/>
      <x:c r="K47" s="5"/>
      <x:c r="L47" s="5"/>
      <x:c r="M47" s="5"/>
      <x:c r="N47" s="5"/>
      <x:c r="O47" s="5"/>
      <x:c r="P47" s="5"/>
      <x:c r="Q47" s="5"/>
      <x:c r="R47" s="1"/>
      <x:c r="S47" s="5"/>
      <x:c r="T47" s="5"/>
      <x:c r="U47" s="5"/>
      <x:c r="V47" s="5"/>
      <x:c r="W47" s="5"/>
      <x:c r="X47" s="5"/>
      <x:c r="Y47" s="5"/>
    </x:row>
    <x:row r="48" ht="10.5" customHeight="1">
      <x:c r="B48" s="44"/>
      <x:c r="C48" s="3" t="str">
        <x:f>IF(MONTH($C$36-WEEKDAY($C$36,1)+1+35)=MONTH($C$36),$C$36-WEEKDAY($C$36,1)+1+35,"")</x:f>
      </x:c>
      <x:c r="D48" s="4" t="str">
        <x:f>IF(MONTH($C$36-WEEKDAY($C$36,1)+1+36)=MONTH($C$36),$C$36-WEEKDAY($C$36,1)+1+36,"")</x:f>
      </x:c>
      <x:c r="E48" s="4" t="str">
        <x:f>IF(MONTH($C$36-WEEKDAY($C$36,1)+1+37)=MONTH($C$36),$C$36-WEEKDAY($C$36,1)+1+37,"")</x:f>
      </x:c>
      <x:c r="F48" s="4" t="str">
        <x:f>IF(MONTH($C$36-WEEKDAY($C$36,1)+1+38)=MONTH($C$36),$C$36-WEEKDAY($C$36,1)+1+38,"")</x:f>
      </x:c>
      <x:c r="G48" s="4" t="str">
        <x:f>IF(MONTH($C$36-WEEKDAY($C$36,1)+1+39)=MONTH($C$36),$C$36-WEEKDAY($C$36,1)+1+39,"")</x:f>
      </x:c>
      <x:c r="H48" s="4" t="str">
        <x:f>IF(MONTH($C$36-WEEKDAY($C$36,1)+1+40)=MONTH($C$36),$C$36-WEEKDAY($C$36,1)+1+40,"")</x:f>
      </x:c>
      <x:c r="I48" s="3" t="str">
        <x:f>IF(MONTH($C$36-WEEKDAY($C$36,1)+1+41)=MONTH($C$36),$C$36-WEEKDAY($C$36,1)+1+41,"")</x:f>
      </x:c>
      <x:c r="J48" s="1"/>
      <x:c r="K48" s="3" t="n">
        <x:f>IF(MONTH($K$36-WEEKDAY($K$36,1)+1+35)=MONTH($K$36),$K$36-WEEKDAY($K$36,1)+1+35,"")</x:f>
        <x:v>46264</x:v>
      </x:c>
      <x:c r="L48" s="4" t="n">
        <x:f>IF(MONTH($K$36-WEEKDAY($K$36,1)+1+36)=MONTH($K$36),$K$36-WEEKDAY($K$36,1)+1+36,"")</x:f>
        <x:v>46265</x:v>
      </x:c>
      <x:c r="M48" s="4" t="str">
        <x:f>IF(MONTH($K$36-WEEKDAY($K$36,1)+1+37)=MONTH($K$36),$K$36-WEEKDAY($K$36,1)+1+37,"")</x:f>
      </x:c>
      <x:c r="N48" s="4" t="str">
        <x:f>IF(MONTH($K$36-WEEKDAY($K$36,1)+1+38)=MONTH($K$36),$K$36-WEEKDAY($K$36,1)+1+38,"")</x:f>
      </x:c>
      <x:c r="O48" s="4" t="str">
        <x:f>IF(MONTH($K$36-WEEKDAY($K$36,1)+1+39)=MONTH($K$36),$K$36-WEEKDAY($K$36,1)+1+39,"")</x:f>
      </x:c>
      <x:c r="P48" s="4" t="str">
        <x:f>IF(MONTH($K$36-WEEKDAY($K$36,1)+1+40)=MONTH($K$36),$K$36-WEEKDAY($K$36,1)+1+40,"")</x:f>
      </x:c>
      <x:c r="Q48" s="3" t="str">
        <x:f>IF(MONTH($K$36-WEEKDAY($K$36,1)+1+41)=MONTH($K$36),$K$36-WEEKDAY($K$36,1)+1+41,"")</x:f>
      </x:c>
      <x:c r="R48" s="1"/>
      <x:c r="S48" s="3" t="str">
        <x:f>IF(MONTH($S$36-WEEKDAY($S$36,1)+1+35)=MONTH($S$36),$S$36-WEEKDAY($S$36,1)+1+35,"")</x:f>
      </x:c>
      <x:c r="T48" s="4" t="str">
        <x:f>IF(MONTH($S$36-WEEKDAY($S$36,1)+1+36)=MONTH($S$36),$S$36-WEEKDAY($S$36,1)+1+36,"")</x:f>
      </x:c>
      <x:c r="U48" s="4" t="str">
        <x:f>IF(MONTH($S$36-WEEKDAY($S$36,1)+1+37)=MONTH($S$36),$S$36-WEEKDAY($S$36,1)+1+37,"")</x:f>
      </x:c>
      <x:c r="V48" s="4" t="str">
        <x:f>IF(MONTH($S$36-WEEKDAY($S$36,1)+1+38)=MONTH($S$36),$S$36-WEEKDAY($S$36,1)+1+38,"")</x:f>
      </x:c>
      <x:c r="W48" s="4" t="str">
        <x:f>IF(MONTH($S$36-WEEKDAY($S$36,1)+1+39)=MONTH($S$36),$S$36-WEEKDAY($S$36,1)+1+39,"")</x:f>
      </x:c>
      <x:c r="X48" s="4" t="str">
        <x:f>IF(MONTH($S$36-WEEKDAY($S$36,1)+1+40)=MONTH($S$36),$S$36-WEEKDAY($S$36,1)+1+40,"")</x:f>
      </x:c>
      <x:c r="Y48" s="3" t="str">
        <x:f>IF(MONTH($S$36-WEEKDAY($S$36,1)+1+41)=MONTH($S$36),$S$36-WEEKDAY($S$36,1)+1+41,"")</x:f>
      </x:c>
    </x:row>
    <x:row r="49" ht="10.5" customHeight="1">
      <x:c r="B49" s="45"/>
      <x:c r="C49" s="5"/>
      <x:c r="D49" s="5"/>
      <x:c r="E49" s="5"/>
      <x:c r="F49" s="5"/>
      <x:c r="G49" s="5"/>
      <x:c r="H49" s="5"/>
      <x:c r="I49" s="5"/>
      <x:c r="J49" s="1"/>
      <x:c r="K49" s="5"/>
      <x:c r="L49" s="5"/>
      <x:c r="M49" s="5"/>
      <x:c r="N49" s="5"/>
      <x:c r="O49" s="5"/>
      <x:c r="P49" s="5"/>
      <x:c r="Q49" s="5"/>
      <x:c r="R49" s="1"/>
      <x:c r="S49" s="5"/>
      <x:c r="T49" s="5"/>
      <x:c r="U49" s="5"/>
      <x:c r="V49" s="5"/>
      <x:c r="W49" s="5"/>
      <x:c r="X49" s="5"/>
      <x:c r="Y49" s="5"/>
    </x:row>
    <x:row r="50" ht="6.75" customHeight="1"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</x:row>
    <x:row r="51" ht="18" customHeight="1">
      <x:c r="B51" s="43" t="s">
        <x:v>13</x:v>
      </x:c>
      <x:c r="C51" s="50" t="n">
        <x:f>DATE($X$2,10,1)</x:f>
        <x:v>46296</x:v>
      </x:c>
      <x:c r="D51" s="47"/>
      <x:c r="E51" s="47"/>
      <x:c r="F51" s="47"/>
      <x:c r="G51" s="47"/>
      <x:c r="H51" s="47"/>
      <x:c r="I51" s="48"/>
      <x:c r="J51" s="1"/>
      <x:c r="K51" s="50" t="n">
        <x:f>DATE($X$2,11,1)</x:f>
        <x:v>46327</x:v>
      </x:c>
      <x:c r="L51" s="47"/>
      <x:c r="M51" s="47"/>
      <x:c r="N51" s="47"/>
      <x:c r="O51" s="47"/>
      <x:c r="P51" s="47"/>
      <x:c r="Q51" s="48"/>
      <x:c r="R51" s="1"/>
      <x:c r="S51" s="50" t="n">
        <x:f>DATE($X$2,12,1)</x:f>
        <x:v>46357</x:v>
      </x:c>
      <x:c r="T51" s="47"/>
      <x:c r="U51" s="47"/>
      <x:c r="V51" s="47"/>
      <x:c r="W51" s="47"/>
      <x:c r="X51" s="47"/>
      <x:c r="Y51" s="48"/>
    </x:row>
    <x:row r="52" ht="12.75" customHeight="1">
      <x:c r="B52" s="44"/>
      <x:c r="C52" s="2" t="s">
        <x:v>4</x:v>
      </x:c>
      <x:c r="D52" s="2" t="s">
        <x:v>5</x:v>
      </x:c>
      <x:c r="E52" s="2" t="s">
        <x:v>6</x:v>
      </x:c>
      <x:c r="F52" s="2" t="s">
        <x:v>7</x:v>
      </x:c>
      <x:c r="G52" s="2" t="s">
        <x:v>8</x:v>
      </x:c>
      <x:c r="H52" s="2" t="s">
        <x:v>9</x:v>
      </x:c>
      <x:c r="I52" s="2" t="s">
        <x:v>10</x:v>
      </x:c>
      <x:c r="J52" s="1"/>
      <x:c r="K52" s="2" t="s">
        <x:v>4</x:v>
      </x:c>
      <x:c r="L52" s="2" t="s">
        <x:v>5</x:v>
      </x:c>
      <x:c r="M52" s="2" t="s">
        <x:v>6</x:v>
      </x:c>
      <x:c r="N52" s="2" t="s">
        <x:v>7</x:v>
      </x:c>
      <x:c r="O52" s="2" t="s">
        <x:v>8</x:v>
      </x:c>
      <x:c r="P52" s="2" t="s">
        <x:v>9</x:v>
      </x:c>
      <x:c r="Q52" s="2" t="s">
        <x:v>10</x:v>
      </x:c>
      <x:c r="R52" s="1"/>
      <x:c r="S52" s="2" t="s">
        <x:v>4</x:v>
      </x:c>
      <x:c r="T52" s="2" t="s">
        <x:v>5</x:v>
      </x:c>
      <x:c r="U52" s="2" t="s">
        <x:v>6</x:v>
      </x:c>
      <x:c r="V52" s="2" t="s">
        <x:v>7</x:v>
      </x:c>
      <x:c r="W52" s="2" t="s">
        <x:v>8</x:v>
      </x:c>
      <x:c r="X52" s="2" t="s">
        <x:v>9</x:v>
      </x:c>
      <x:c r="Y52" s="2" t="s">
        <x:v>10</x:v>
      </x:c>
    </x:row>
    <x:row r="53" ht="10.5" customHeight="1">
      <x:c r="B53" s="44"/>
      <x:c r="C53" s="3" t="str">
        <x:f>IF(MONTH($C$51-WEEKDAY($C$51,1)+1+0)=MONTH($C$51),$C$51-WEEKDAY($C$51,1)+1+0,"")</x:f>
      </x:c>
      <x:c r="D53" s="4" t="str">
        <x:f>IF(MONTH($C$51-WEEKDAY($C$51,1)+1+1)=MONTH($C$51),$C$51-WEEKDAY($C$51,1)+1+1,"")</x:f>
      </x:c>
      <x:c r="E53" s="4" t="str">
        <x:f>IF(MONTH($C$51-WEEKDAY($C$51,1)+1+2)=MONTH($C$51),$C$51-WEEKDAY($C$51,1)+1+2,"")</x:f>
      </x:c>
      <x:c r="F53" s="4" t="str">
        <x:f>IF(MONTH($C$51-WEEKDAY($C$51,1)+1+3)=MONTH($C$51),$C$51-WEEKDAY($C$51,1)+1+3,"")</x:f>
      </x:c>
      <x:c r="G53" s="4" t="n">
        <x:f>IF(MONTH($C$51-WEEKDAY($C$51,1)+1+4)=MONTH($C$51),$C$51-WEEKDAY($C$51,1)+1+4,"")</x:f>
        <x:v>46296</x:v>
      </x:c>
      <x:c r="H53" s="4" t="n">
        <x:f>IF(MONTH($C$51-WEEKDAY($C$51,1)+1+5)=MONTH($C$51),$C$51-WEEKDAY($C$51,1)+1+5,"")</x:f>
        <x:v>46297</x:v>
      </x:c>
      <x:c r="I53" s="3" t="n">
        <x:f>IF(MONTH($C$51-WEEKDAY($C$51,1)+1+6)=MONTH($C$51),$C$51-WEEKDAY($C$51,1)+1+6,"")</x:f>
        <x:v>46298</x:v>
      </x:c>
      <x:c r="J53" s="1"/>
      <x:c r="K53" s="3" t="n">
        <x:f>IF(MONTH($K$51-WEEKDAY($K$51,1)+1+0)=MONTH($K$51),$K$51-WEEKDAY($K$51,1)+1+0,"")</x:f>
        <x:v>46327</x:v>
      </x:c>
      <x:c r="L53" s="4" t="n">
        <x:f>IF(MONTH($K$51-WEEKDAY($K$51,1)+1+1)=MONTH($K$51),$K$51-WEEKDAY($K$51,1)+1+1,"")</x:f>
        <x:v>46328</x:v>
      </x:c>
      <x:c r="M53" s="4" t="n">
        <x:f>IF(MONTH($K$51-WEEKDAY($K$51,1)+1+2)=MONTH($K$51),$K$51-WEEKDAY($K$51,1)+1+2,"")</x:f>
        <x:v>46329</x:v>
      </x:c>
      <x:c r="N53" s="4" t="n">
        <x:f>IF(MONTH($K$51-WEEKDAY($K$51,1)+1+3)=MONTH($K$51),$K$51-WEEKDAY($K$51,1)+1+3,"")</x:f>
        <x:v>46330</x:v>
      </x:c>
      <x:c r="O53" s="4" t="n">
        <x:f>IF(MONTH($K$51-WEEKDAY($K$51,1)+1+4)=MONTH($K$51),$K$51-WEEKDAY($K$51,1)+1+4,"")</x:f>
        <x:v>46331</x:v>
      </x:c>
      <x:c r="P53" s="4" t="n">
        <x:f>IF(MONTH($K$51-WEEKDAY($K$51,1)+1+5)=MONTH($K$51),$K$51-WEEKDAY($K$51,1)+1+5,"")</x:f>
        <x:v>46332</x:v>
      </x:c>
      <x:c r="Q53" s="3" t="n">
        <x:f>IF(MONTH($K$51-WEEKDAY($K$51,1)+1+6)=MONTH($K$51),$K$51-WEEKDAY($K$51,1)+1+6,"")</x:f>
        <x:v>46333</x:v>
      </x:c>
      <x:c r="R53" s="1"/>
      <x:c r="S53" s="3" t="str">
        <x:f>IF(MONTH($S$51-WEEKDAY($S$51,1)+1+0)=MONTH($S$51),$S$51-WEEKDAY($S$51,1)+1+0,"")</x:f>
      </x:c>
      <x:c r="T53" s="4" t="str">
        <x:f>IF(MONTH($S$51-WEEKDAY($S$51,1)+1+1)=MONTH($S$51),$S$51-WEEKDAY($S$51,1)+1+1,"")</x:f>
      </x:c>
      <x:c r="U53" s="4" t="n">
        <x:f>IF(MONTH($S$51-WEEKDAY($S$51,1)+1+2)=MONTH($S$51),$S$51-WEEKDAY($S$51,1)+1+2,"")</x:f>
        <x:v>46357</x:v>
      </x:c>
      <x:c r="V53" s="4" t="n">
        <x:f>IF(MONTH($S$51-WEEKDAY($S$51,1)+1+3)=MONTH($S$51),$S$51-WEEKDAY($S$51,1)+1+3,"")</x:f>
        <x:v>46358</x:v>
      </x:c>
      <x:c r="W53" s="4" t="n">
        <x:f>IF(MONTH($S$51-WEEKDAY($S$51,1)+1+4)=MONTH($S$51),$S$51-WEEKDAY($S$51,1)+1+4,"")</x:f>
        <x:v>46359</x:v>
      </x:c>
      <x:c r="X53" s="4" t="n">
        <x:f>IF(MONTH($S$51-WEEKDAY($S$51,1)+1+5)=MONTH($S$51),$S$51-WEEKDAY($S$51,1)+1+5,"")</x:f>
        <x:v>46360</x:v>
      </x:c>
      <x:c r="Y53" s="3" t="n">
        <x:f>IF(MONTH($S$51-WEEKDAY($S$51,1)+1+6)=MONTH($S$51),$S$51-WEEKDAY($S$51,1)+1+6,"")</x:f>
        <x:v>46361</x:v>
      </x:c>
    </x:row>
    <x:row r="54" ht="10.5" customHeight="1">
      <x:c r="B54" s="44"/>
      <x:c r="C54" s="5"/>
      <x:c r="D54" s="5"/>
      <x:c r="E54" s="5"/>
      <x:c r="F54" s="5"/>
      <x:c r="G54" s="5"/>
      <x:c r="H54" s="5"/>
      <x:c r="I54" s="5"/>
      <x:c r="J54" s="1"/>
      <x:c r="K54" s="5"/>
      <x:c r="L54" s="5"/>
      <x:c r="M54" s="5"/>
      <x:c r="N54" s="5"/>
      <x:c r="O54" s="5"/>
      <x:c r="P54" s="5"/>
      <x:c r="Q54" s="5"/>
      <x:c r="R54" s="1"/>
      <x:c r="S54" s="5"/>
      <x:c r="T54" s="5"/>
      <x:c r="U54" s="5"/>
      <x:c r="V54" s="5"/>
      <x:c r="W54" s="5"/>
      <x:c r="X54" s="5"/>
      <x:c r="Y54" s="5"/>
    </x:row>
    <x:row r="55" ht="10.5" customHeight="1">
      <x:c r="B55" s="44"/>
      <x:c r="C55" s="3" t="n">
        <x:f>IF(MONTH($C$51-WEEKDAY($C$51,1)+1+7)=MONTH($C$51),$C$51-WEEKDAY($C$51,1)+1+7,"")</x:f>
        <x:v>46299</x:v>
      </x:c>
      <x:c r="D55" s="4" t="n">
        <x:f>IF(MONTH($C$51-WEEKDAY($C$51,1)+1+8)=MONTH($C$51),$C$51-WEEKDAY($C$51,1)+1+8,"")</x:f>
        <x:v>46300</x:v>
      </x:c>
      <x:c r="E55" s="4" t="n">
        <x:f>IF(MONTH($C$51-WEEKDAY($C$51,1)+1+9)=MONTH($C$51),$C$51-WEEKDAY($C$51,1)+1+9,"")</x:f>
        <x:v>46301</x:v>
      </x:c>
      <x:c r="F55" s="4" t="n">
        <x:f>IF(MONTH($C$51-WEEKDAY($C$51,1)+1+10)=MONTH($C$51),$C$51-WEEKDAY($C$51,1)+1+10,"")</x:f>
        <x:v>46302</x:v>
      </x:c>
      <x:c r="G55" s="4" t="n">
        <x:f>IF(MONTH($C$51-WEEKDAY($C$51,1)+1+11)=MONTH($C$51),$C$51-WEEKDAY($C$51,1)+1+11,"")</x:f>
        <x:v>46303</x:v>
      </x:c>
      <x:c r="H55" s="4" t="n">
        <x:f>IF(MONTH($C$51-WEEKDAY($C$51,1)+1+12)=MONTH($C$51),$C$51-WEEKDAY($C$51,1)+1+12,"")</x:f>
        <x:v>46304</x:v>
      </x:c>
      <x:c r="I55" s="3" t="n">
        <x:f>IF(MONTH($C$51-WEEKDAY($C$51,1)+1+13)=MONTH($C$51),$C$51-WEEKDAY($C$51,1)+1+13,"")</x:f>
        <x:v>46305</x:v>
      </x:c>
      <x:c r="J55" s="1"/>
      <x:c r="K55" s="3" t="n">
        <x:f>IF(MONTH($K$51-WEEKDAY($K$51,1)+1+7)=MONTH($K$51),$K$51-WEEKDAY($K$51,1)+1+7,"")</x:f>
        <x:v>46334</x:v>
      </x:c>
      <x:c r="L55" s="4" t="n">
        <x:f>IF(MONTH($K$51-WEEKDAY($K$51,1)+1+8)=MONTH($K$51),$K$51-WEEKDAY($K$51,1)+1+8,"")</x:f>
        <x:v>46335</x:v>
      </x:c>
      <x:c r="M55" s="4" t="n">
        <x:f>IF(MONTH($K$51-WEEKDAY($K$51,1)+1+9)=MONTH($K$51),$K$51-WEEKDAY($K$51,1)+1+9,"")</x:f>
        <x:v>46336</x:v>
      </x:c>
      <x:c r="N55" s="4" t="n">
        <x:f>IF(MONTH($K$51-WEEKDAY($K$51,1)+1+10)=MONTH($K$51),$K$51-WEEKDAY($K$51,1)+1+10,"")</x:f>
        <x:v>46337</x:v>
      </x:c>
      <x:c r="O55" s="4" t="n">
        <x:f>IF(MONTH($K$51-WEEKDAY($K$51,1)+1+11)=MONTH($K$51),$K$51-WEEKDAY($K$51,1)+1+11,"")</x:f>
        <x:v>46338</x:v>
      </x:c>
      <x:c r="P55" s="4" t="n">
        <x:f>IF(MONTH($K$51-WEEKDAY($K$51,1)+1+12)=MONTH($K$51),$K$51-WEEKDAY($K$51,1)+1+12,"")</x:f>
        <x:v>46339</x:v>
      </x:c>
      <x:c r="Q55" s="3" t="n">
        <x:f>IF(MONTH($K$51-WEEKDAY($K$51,1)+1+13)=MONTH($K$51),$K$51-WEEKDAY($K$51,1)+1+13,"")</x:f>
        <x:v>46340</x:v>
      </x:c>
      <x:c r="R55" s="1"/>
      <x:c r="S55" s="3" t="n">
        <x:f>IF(MONTH($S$51-WEEKDAY($S$51,1)+1+7)=MONTH($S$51),$S$51-WEEKDAY($S$51,1)+1+7,"")</x:f>
        <x:v>46362</x:v>
      </x:c>
      <x:c r="T55" s="4" t="n">
        <x:f>IF(MONTH($S$51-WEEKDAY($S$51,1)+1+8)=MONTH($S$51),$S$51-WEEKDAY($S$51,1)+1+8,"")</x:f>
        <x:v>46363</x:v>
      </x:c>
      <x:c r="U55" s="4" t="n">
        <x:f>IF(MONTH($S$51-WEEKDAY($S$51,1)+1+9)=MONTH($S$51),$S$51-WEEKDAY($S$51,1)+1+9,"")</x:f>
        <x:v>46364</x:v>
      </x:c>
      <x:c r="V55" s="4" t="n">
        <x:f>IF(MONTH($S$51-WEEKDAY($S$51,1)+1+10)=MONTH($S$51),$S$51-WEEKDAY($S$51,1)+1+10,"")</x:f>
        <x:v>46365</x:v>
      </x:c>
      <x:c r="W55" s="4" t="n">
        <x:f>IF(MONTH($S$51-WEEKDAY($S$51,1)+1+11)=MONTH($S$51),$S$51-WEEKDAY($S$51,1)+1+11,"")</x:f>
        <x:v>46366</x:v>
      </x:c>
      <x:c r="X55" s="4" t="n">
        <x:f>IF(MONTH($S$51-WEEKDAY($S$51,1)+1+12)=MONTH($S$51),$S$51-WEEKDAY($S$51,1)+1+12,"")</x:f>
        <x:v>46367</x:v>
      </x:c>
      <x:c r="Y55" s="3" t="n">
        <x:f>IF(MONTH($S$51-WEEKDAY($S$51,1)+1+13)=MONTH($S$51),$S$51-WEEKDAY($S$51,1)+1+13,"")</x:f>
        <x:v>46368</x:v>
      </x:c>
    </x:row>
    <x:row r="56" ht="10.5" customHeight="1">
      <x:c r="B56" s="44"/>
      <x:c r="C56" s="5"/>
      <x:c r="D56" s="5"/>
      <x:c r="E56" s="5"/>
      <x:c r="F56" s="5"/>
      <x:c r="G56" s="5"/>
      <x:c r="H56" s="5"/>
      <x:c r="I56" s="5"/>
      <x:c r="J56" s="1"/>
      <x:c r="K56" s="5"/>
      <x:c r="L56" s="5"/>
      <x:c r="M56" s="5"/>
      <x:c r="N56" s="5"/>
      <x:c r="O56" s="5"/>
      <x:c r="P56" s="5"/>
      <x:c r="Q56" s="5"/>
      <x:c r="R56" s="1"/>
      <x:c r="S56" s="5"/>
      <x:c r="T56" s="5"/>
      <x:c r="U56" s="5"/>
      <x:c r="V56" s="5"/>
      <x:c r="W56" s="5"/>
      <x:c r="X56" s="5"/>
      <x:c r="Y56" s="5"/>
    </x:row>
    <x:row r="57" ht="10.5" customHeight="1">
      <x:c r="B57" s="44"/>
      <x:c r="C57" s="3" t="n">
        <x:f>IF(MONTH($C$51-WEEKDAY($C$51,1)+1+14)=MONTH($C$51),$C$51-WEEKDAY($C$51,1)+1+14,"")</x:f>
        <x:v>46306</x:v>
      </x:c>
      <x:c r="D57" s="4" t="n">
        <x:f>IF(MONTH($C$51-WEEKDAY($C$51,1)+1+15)=MONTH($C$51),$C$51-WEEKDAY($C$51,1)+1+15,"")</x:f>
        <x:v>46307</x:v>
      </x:c>
      <x:c r="E57" s="4" t="n">
        <x:f>IF(MONTH($C$51-WEEKDAY($C$51,1)+1+16)=MONTH($C$51),$C$51-WEEKDAY($C$51,1)+1+16,"")</x:f>
        <x:v>46308</x:v>
      </x:c>
      <x:c r="F57" s="4" t="n">
        <x:f>IF(MONTH($C$51-WEEKDAY($C$51,1)+1+17)=MONTH($C$51),$C$51-WEEKDAY($C$51,1)+1+17,"")</x:f>
        <x:v>46309</x:v>
      </x:c>
      <x:c r="G57" s="4" t="n">
        <x:f>IF(MONTH($C$51-WEEKDAY($C$51,1)+1+18)=MONTH($C$51),$C$51-WEEKDAY($C$51,1)+1+18,"")</x:f>
        <x:v>46310</x:v>
      </x:c>
      <x:c r="H57" s="4" t="n">
        <x:f>IF(MONTH($C$51-WEEKDAY($C$51,1)+1+19)=MONTH($C$51),$C$51-WEEKDAY($C$51,1)+1+19,"")</x:f>
        <x:v>46311</x:v>
      </x:c>
      <x:c r="I57" s="3" t="n">
        <x:f>IF(MONTH($C$51-WEEKDAY($C$51,1)+1+20)=MONTH($C$51),$C$51-WEEKDAY($C$51,1)+1+20,"")</x:f>
        <x:v>46312</x:v>
      </x:c>
      <x:c r="J57" s="1"/>
      <x:c r="K57" s="3" t="n">
        <x:f>IF(MONTH($K$51-WEEKDAY($K$51,1)+1+14)=MONTH($K$51),$K$51-WEEKDAY($K$51,1)+1+14,"")</x:f>
        <x:v>46341</x:v>
      </x:c>
      <x:c r="L57" s="4" t="n">
        <x:f>IF(MONTH($K$51-WEEKDAY($K$51,1)+1+15)=MONTH($K$51),$K$51-WEEKDAY($K$51,1)+1+15,"")</x:f>
        <x:v>46342</x:v>
      </x:c>
      <x:c r="M57" s="4" t="n">
        <x:f>IF(MONTH($K$51-WEEKDAY($K$51,1)+1+16)=MONTH($K$51),$K$51-WEEKDAY($K$51,1)+1+16,"")</x:f>
        <x:v>46343</x:v>
      </x:c>
      <x:c r="N57" s="4" t="n">
        <x:f>IF(MONTH($K$51-WEEKDAY($K$51,1)+1+17)=MONTH($K$51),$K$51-WEEKDAY($K$51,1)+1+17,"")</x:f>
        <x:v>46344</x:v>
      </x:c>
      <x:c r="O57" s="4" t="n">
        <x:f>IF(MONTH($K$51-WEEKDAY($K$51,1)+1+18)=MONTH($K$51),$K$51-WEEKDAY($K$51,1)+1+18,"")</x:f>
        <x:v>46345</x:v>
      </x:c>
      <x:c r="P57" s="4" t="n">
        <x:f>IF(MONTH($K$51-WEEKDAY($K$51,1)+1+19)=MONTH($K$51),$K$51-WEEKDAY($K$51,1)+1+19,"")</x:f>
        <x:v>46346</x:v>
      </x:c>
      <x:c r="Q57" s="3" t="n">
        <x:f>IF(MONTH($K$51-WEEKDAY($K$51,1)+1+20)=MONTH($K$51),$K$51-WEEKDAY($K$51,1)+1+20,"")</x:f>
        <x:v>46347</x:v>
      </x:c>
      <x:c r="R57" s="1"/>
      <x:c r="S57" s="3" t="n">
        <x:f>IF(MONTH($S$51-WEEKDAY($S$51,1)+1+14)=MONTH($S$51),$S$51-WEEKDAY($S$51,1)+1+14,"")</x:f>
        <x:v>46369</x:v>
      </x:c>
      <x:c r="T57" s="4" t="n">
        <x:f>IF(MONTH($S$51-WEEKDAY($S$51,1)+1+15)=MONTH($S$51),$S$51-WEEKDAY($S$51,1)+1+15,"")</x:f>
        <x:v>46370</x:v>
      </x:c>
      <x:c r="U57" s="4" t="n">
        <x:f>IF(MONTH($S$51-WEEKDAY($S$51,1)+1+16)=MONTH($S$51),$S$51-WEEKDAY($S$51,1)+1+16,"")</x:f>
        <x:v>46371</x:v>
      </x:c>
      <x:c r="V57" s="4" t="n">
        <x:f>IF(MONTH($S$51-WEEKDAY($S$51,1)+1+17)=MONTH($S$51),$S$51-WEEKDAY($S$51,1)+1+17,"")</x:f>
        <x:v>46372</x:v>
      </x:c>
      <x:c r="W57" s="4" t="n">
        <x:f>IF(MONTH($S$51-WEEKDAY($S$51,1)+1+18)=MONTH($S$51),$S$51-WEEKDAY($S$51,1)+1+18,"")</x:f>
        <x:v>46373</x:v>
      </x:c>
      <x:c r="X57" s="4" t="n">
        <x:f>IF(MONTH($S$51-WEEKDAY($S$51,1)+1+19)=MONTH($S$51),$S$51-WEEKDAY($S$51,1)+1+19,"")</x:f>
        <x:v>46374</x:v>
      </x:c>
      <x:c r="Y57" s="3" t="n">
        <x:f>IF(MONTH($S$51-WEEKDAY($S$51,1)+1+20)=MONTH($S$51),$S$51-WEEKDAY($S$51,1)+1+20,"")</x:f>
        <x:v>46375</x:v>
      </x:c>
    </x:row>
    <x:row r="58" ht="10.5" customHeight="1">
      <x:c r="B58" s="44"/>
      <x:c r="C58" s="5"/>
      <x:c r="D58" s="5"/>
      <x:c r="E58" s="5"/>
      <x:c r="F58" s="5"/>
      <x:c r="G58" s="5"/>
      <x:c r="H58" s="5"/>
      <x:c r="I58" s="5"/>
      <x:c r="J58" s="1"/>
      <x:c r="K58" s="5"/>
      <x:c r="L58" s="5"/>
      <x:c r="M58" s="5"/>
      <x:c r="N58" s="5"/>
      <x:c r="O58" s="5"/>
      <x:c r="P58" s="5"/>
      <x:c r="Q58" s="5"/>
      <x:c r="R58" s="1"/>
      <x:c r="S58" s="5"/>
      <x:c r="T58" s="5"/>
      <x:c r="U58" s="5"/>
      <x:c r="V58" s="5"/>
      <x:c r="W58" s="5"/>
      <x:c r="X58" s="5"/>
      <x:c r="Y58" s="5"/>
    </x:row>
    <x:row r="59" ht="10.5" customHeight="1">
      <x:c r="B59" s="44"/>
      <x:c r="C59" s="3" t="n">
        <x:f>IF(MONTH($C$51-WEEKDAY($C$51,1)+1+21)=MONTH($C$51),$C$51-WEEKDAY($C$51,1)+1+21,"")</x:f>
        <x:v>46313</x:v>
      </x:c>
      <x:c r="D59" s="4" t="n">
        <x:f>IF(MONTH($C$51-WEEKDAY($C$51,1)+1+22)=MONTH($C$51),$C$51-WEEKDAY($C$51,1)+1+22,"")</x:f>
        <x:v>46314</x:v>
      </x:c>
      <x:c r="E59" s="4" t="n">
        <x:f>IF(MONTH($C$51-WEEKDAY($C$51,1)+1+23)=MONTH($C$51),$C$51-WEEKDAY($C$51,1)+1+23,"")</x:f>
        <x:v>46315</x:v>
      </x:c>
      <x:c r="F59" s="4" t="n">
        <x:f>IF(MONTH($C$51-WEEKDAY($C$51,1)+1+24)=MONTH($C$51),$C$51-WEEKDAY($C$51,1)+1+24,"")</x:f>
        <x:v>46316</x:v>
      </x:c>
      <x:c r="G59" s="4" t="n">
        <x:f>IF(MONTH($C$51-WEEKDAY($C$51,1)+1+25)=MONTH($C$51),$C$51-WEEKDAY($C$51,1)+1+25,"")</x:f>
        <x:v>46317</x:v>
      </x:c>
      <x:c r="H59" s="4" t="n">
        <x:f>IF(MONTH($C$51-WEEKDAY($C$51,1)+1+26)=MONTH($C$51),$C$51-WEEKDAY($C$51,1)+1+26,"")</x:f>
        <x:v>46318</x:v>
      </x:c>
      <x:c r="I59" s="3" t="n">
        <x:f>IF(MONTH($C$51-WEEKDAY($C$51,1)+1+27)=MONTH($C$51),$C$51-WEEKDAY($C$51,1)+1+27,"")</x:f>
        <x:v>46319</x:v>
      </x:c>
      <x:c r="J59" s="1"/>
      <x:c r="K59" s="3" t="n">
        <x:f>IF(MONTH($K$51-WEEKDAY($K$51,1)+1+21)=MONTH($K$51),$K$51-WEEKDAY($K$51,1)+1+21,"")</x:f>
        <x:v>46348</x:v>
      </x:c>
      <x:c r="L59" s="4" t="n">
        <x:f>IF(MONTH($K$51-WEEKDAY($K$51,1)+1+22)=MONTH($K$51),$K$51-WEEKDAY($K$51,1)+1+22,"")</x:f>
        <x:v>46349</x:v>
      </x:c>
      <x:c r="M59" s="4" t="n">
        <x:f>IF(MONTH($K$51-WEEKDAY($K$51,1)+1+23)=MONTH($K$51),$K$51-WEEKDAY($K$51,1)+1+23,"")</x:f>
        <x:v>46350</x:v>
      </x:c>
      <x:c r="N59" s="4" t="n">
        <x:f>IF(MONTH($K$51-WEEKDAY($K$51,1)+1+24)=MONTH($K$51),$K$51-WEEKDAY($K$51,1)+1+24,"")</x:f>
        <x:v>46351</x:v>
      </x:c>
      <x:c r="O59" s="4" t="n">
        <x:f>IF(MONTH($K$51-WEEKDAY($K$51,1)+1+25)=MONTH($K$51),$K$51-WEEKDAY($K$51,1)+1+25,"")</x:f>
        <x:v>46352</x:v>
      </x:c>
      <x:c r="P59" s="4" t="n">
        <x:f>IF(MONTH($K$51-WEEKDAY($K$51,1)+1+26)=MONTH($K$51),$K$51-WEEKDAY($K$51,1)+1+26,"")</x:f>
        <x:v>46353</x:v>
      </x:c>
      <x:c r="Q59" s="3" t="n">
        <x:f>IF(MONTH($K$51-WEEKDAY($K$51,1)+1+27)=MONTH($K$51),$K$51-WEEKDAY($K$51,1)+1+27,"")</x:f>
        <x:v>46354</x:v>
      </x:c>
      <x:c r="R59" s="1"/>
      <x:c r="S59" s="3" t="n">
        <x:f>IF(MONTH($S$51-WEEKDAY($S$51,1)+1+21)=MONTH($S$51),$S$51-WEEKDAY($S$51,1)+1+21,"")</x:f>
        <x:v>46376</x:v>
      </x:c>
      <x:c r="T59" s="4" t="n">
        <x:f>IF(MONTH($S$51-WEEKDAY($S$51,1)+1+22)=MONTH($S$51),$S$51-WEEKDAY($S$51,1)+1+22,"")</x:f>
        <x:v>46377</x:v>
      </x:c>
      <x:c r="U59" s="4" t="n">
        <x:f>IF(MONTH($S$51-WEEKDAY($S$51,1)+1+23)=MONTH($S$51),$S$51-WEEKDAY($S$51,1)+1+23,"")</x:f>
        <x:v>46378</x:v>
      </x:c>
      <x:c r="V59" s="4" t="n">
        <x:f>IF(MONTH($S$51-WEEKDAY($S$51,1)+1+24)=MONTH($S$51),$S$51-WEEKDAY($S$51,1)+1+24,"")</x:f>
        <x:v>46379</x:v>
      </x:c>
      <x:c r="W59" s="4" t="n">
        <x:f>IF(MONTH($S$51-WEEKDAY($S$51,1)+1+25)=MONTH($S$51),$S$51-WEEKDAY($S$51,1)+1+25,"")</x:f>
        <x:v>46380</x:v>
      </x:c>
      <x:c r="X59" s="4" t="n">
        <x:f>IF(MONTH($S$51-WEEKDAY($S$51,1)+1+26)=MONTH($S$51),$S$51-WEEKDAY($S$51,1)+1+26,"")</x:f>
        <x:v>46381</x:v>
      </x:c>
      <x:c r="Y59" s="3" t="n">
        <x:f>IF(MONTH($S$51-WEEKDAY($S$51,1)+1+27)=MONTH($S$51),$S$51-WEEKDAY($S$51,1)+1+27,"")</x:f>
        <x:v>46382</x:v>
      </x:c>
    </x:row>
    <x:row r="60" ht="10.5" customHeight="1">
      <x:c r="B60" s="44"/>
      <x:c r="C60" s="5"/>
      <x:c r="D60" s="5"/>
      <x:c r="E60" s="5"/>
      <x:c r="F60" s="5"/>
      <x:c r="G60" s="5"/>
      <x:c r="H60" s="5"/>
      <x:c r="I60" s="5"/>
      <x:c r="J60" s="1"/>
      <x:c r="K60" s="5"/>
      <x:c r="L60" s="5"/>
      <x:c r="M60" s="5"/>
      <x:c r="N60" s="5"/>
      <x:c r="O60" s="5"/>
      <x:c r="P60" s="5"/>
      <x:c r="Q60" s="5"/>
      <x:c r="R60" s="1"/>
      <x:c r="S60" s="5"/>
      <x:c r="T60" s="5"/>
      <x:c r="U60" s="5"/>
      <x:c r="V60" s="5"/>
      <x:c r="W60" s="5"/>
      <x:c r="X60" s="5"/>
      <x:c r="Y60" s="5"/>
    </x:row>
    <x:row r="61" ht="10.5" customHeight="1">
      <x:c r="B61" s="44"/>
      <x:c r="C61" s="3" t="n">
        <x:f>IF(MONTH($C$51-WEEKDAY($C$51,1)+1+28)=MONTH($C$51),$C$51-WEEKDAY($C$51,1)+1+28,"")</x:f>
        <x:v>46320</x:v>
      </x:c>
      <x:c r="D61" s="4" t="n">
        <x:f>IF(MONTH($C$51-WEEKDAY($C$51,1)+1+29)=MONTH($C$51),$C$51-WEEKDAY($C$51,1)+1+29,"")</x:f>
        <x:v>46321</x:v>
      </x:c>
      <x:c r="E61" s="4" t="n">
        <x:f>IF(MONTH($C$51-WEEKDAY($C$51,1)+1+30)=MONTH($C$51),$C$51-WEEKDAY($C$51,1)+1+30,"")</x:f>
        <x:v>46322</x:v>
      </x:c>
      <x:c r="F61" s="4" t="n">
        <x:f>IF(MONTH($C$51-WEEKDAY($C$51,1)+1+31)=MONTH($C$51),$C$51-WEEKDAY($C$51,1)+1+31,"")</x:f>
        <x:v>46323</x:v>
      </x:c>
      <x:c r="G61" s="4" t="n">
        <x:f>IF(MONTH($C$51-WEEKDAY($C$51,1)+1+32)=MONTH($C$51),$C$51-WEEKDAY($C$51,1)+1+32,"")</x:f>
        <x:v>46324</x:v>
      </x:c>
      <x:c r="H61" s="4" t="n">
        <x:f>IF(MONTH($C$51-WEEKDAY($C$51,1)+1+33)=MONTH($C$51),$C$51-WEEKDAY($C$51,1)+1+33,"")</x:f>
        <x:v>46325</x:v>
      </x:c>
      <x:c r="I61" s="3" t="n">
        <x:f>IF(MONTH($C$51-WEEKDAY($C$51,1)+1+34)=MONTH($C$51),$C$51-WEEKDAY($C$51,1)+1+34,"")</x:f>
        <x:v>46326</x:v>
      </x:c>
      <x:c r="J61" s="1"/>
      <x:c r="K61" s="3" t="n">
        <x:f>IF(MONTH($K$51-WEEKDAY($K$51,1)+1+28)=MONTH($K$51),$K$51-WEEKDAY($K$51,1)+1+28,"")</x:f>
        <x:v>46355</x:v>
      </x:c>
      <x:c r="L61" s="4" t="n">
        <x:f>IF(MONTH($K$51-WEEKDAY($K$51,1)+1+29)=MONTH($K$51),$K$51-WEEKDAY($K$51,1)+1+29,"")</x:f>
        <x:v>46356</x:v>
      </x:c>
      <x:c r="M61" s="4" t="str">
        <x:f>IF(MONTH($K$51-WEEKDAY($K$51,1)+1+30)=MONTH($K$51),$K$51-WEEKDAY($K$51,1)+1+30,"")</x:f>
      </x:c>
      <x:c r="N61" s="4" t="str">
        <x:f>IF(MONTH($K$51-WEEKDAY($K$51,1)+1+31)=MONTH($K$51),$K$51-WEEKDAY($K$51,1)+1+31,"")</x:f>
      </x:c>
      <x:c r="O61" s="4" t="str">
        <x:f>IF(MONTH($K$51-WEEKDAY($K$51,1)+1+32)=MONTH($K$51),$K$51-WEEKDAY($K$51,1)+1+32,"")</x:f>
      </x:c>
      <x:c r="P61" s="4" t="str">
        <x:f>IF(MONTH($K$51-WEEKDAY($K$51,1)+1+33)=MONTH($K$51),$K$51-WEEKDAY($K$51,1)+1+33,"")</x:f>
      </x:c>
      <x:c r="Q61" s="3" t="str">
        <x:f>IF(MONTH($K$51-WEEKDAY($K$51,1)+1+34)=MONTH($K$51),$K$51-WEEKDAY($K$51,1)+1+34,"")</x:f>
      </x:c>
      <x:c r="R61" s="1"/>
      <x:c r="S61" s="3" t="n">
        <x:f>IF(MONTH($S$51-WEEKDAY($S$51,1)+1+28)=MONTH($S$51),$S$51-WEEKDAY($S$51,1)+1+28,"")</x:f>
        <x:v>46383</x:v>
      </x:c>
      <x:c r="T61" s="4" t="n">
        <x:f>IF(MONTH($S$51-WEEKDAY($S$51,1)+1+29)=MONTH($S$51),$S$51-WEEKDAY($S$51,1)+1+29,"")</x:f>
        <x:v>46384</x:v>
      </x:c>
      <x:c r="U61" s="4" t="n">
        <x:f>IF(MONTH($S$51-WEEKDAY($S$51,1)+1+30)=MONTH($S$51),$S$51-WEEKDAY($S$51,1)+1+30,"")</x:f>
        <x:v>46385</x:v>
      </x:c>
      <x:c r="V61" s="4" t="n">
        <x:f>IF(MONTH($S$51-WEEKDAY($S$51,1)+1+31)=MONTH($S$51),$S$51-WEEKDAY($S$51,1)+1+31,"")</x:f>
        <x:v>46386</x:v>
      </x:c>
      <x:c r="W61" s="4" t="n">
        <x:f>IF(MONTH($S$51-WEEKDAY($S$51,1)+1+32)=MONTH($S$51),$S$51-WEEKDAY($S$51,1)+1+32,"")</x:f>
        <x:v>46387</x:v>
      </x:c>
      <x:c r="X61" s="4" t="str">
        <x:f>IF(MONTH($S$51-WEEKDAY($S$51,1)+1+33)=MONTH($S$51),$S$51-WEEKDAY($S$51,1)+1+33,"")</x:f>
      </x:c>
      <x:c r="Y61" s="3" t="str">
        <x:f>IF(MONTH($S$51-WEEKDAY($S$51,1)+1+34)=MONTH($S$51),$S$51-WEEKDAY($S$51,1)+1+34,"")</x:f>
      </x:c>
    </x:row>
    <x:row r="62" ht="10.5" customHeight="1">
      <x:c r="B62" s="44"/>
      <x:c r="C62" s="5"/>
      <x:c r="D62" s="5"/>
      <x:c r="E62" s="5"/>
      <x:c r="F62" s="5"/>
      <x:c r="G62" s="5"/>
      <x:c r="H62" s="5"/>
      <x:c r="I62" s="5"/>
      <x:c r="J62" s="1"/>
      <x:c r="K62" s="5"/>
      <x:c r="L62" s="5"/>
      <x:c r="M62" s="5"/>
      <x:c r="N62" s="5"/>
      <x:c r="O62" s="5"/>
      <x:c r="P62" s="5"/>
      <x:c r="Q62" s="5"/>
      <x:c r="R62" s="1"/>
      <x:c r="S62" s="5"/>
      <x:c r="T62" s="5"/>
      <x:c r="U62" s="5"/>
      <x:c r="V62" s="5"/>
      <x:c r="W62" s="5"/>
      <x:c r="X62" s="5"/>
      <x:c r="Y62" s="5"/>
    </x:row>
    <x:row r="63" ht="10.5" customHeight="1">
      <x:c r="B63" s="44"/>
      <x:c r="C63" s="3" t="str">
        <x:f>IF(MONTH($C$51-WEEKDAY($C$51,1)+1+35)=MONTH($C$51),$C$51-WEEKDAY($C$51,1)+1+35,"")</x:f>
      </x:c>
      <x:c r="D63" s="4" t="str">
        <x:f>IF(MONTH($C$51-WEEKDAY($C$51,1)+1+36)=MONTH($C$51),$C$51-WEEKDAY($C$51,1)+1+36,"")</x:f>
      </x:c>
      <x:c r="E63" s="4" t="str">
        <x:f>IF(MONTH($C$51-WEEKDAY($C$51,1)+1+37)=MONTH($C$51),$C$51-WEEKDAY($C$51,1)+1+37,"")</x:f>
      </x:c>
      <x:c r="F63" s="4" t="str">
        <x:f>IF(MONTH($C$51-WEEKDAY($C$51,1)+1+38)=MONTH($C$51),$C$51-WEEKDAY($C$51,1)+1+38,"")</x:f>
      </x:c>
      <x:c r="G63" s="4" t="str">
        <x:f>IF(MONTH($C$51-WEEKDAY($C$51,1)+1+39)=MONTH($C$51),$C$51-WEEKDAY($C$51,1)+1+39,"")</x:f>
      </x:c>
      <x:c r="H63" s="4" t="str">
        <x:f>IF(MONTH($C$51-WEEKDAY($C$51,1)+1+40)=MONTH($C$51),$C$51-WEEKDAY($C$51,1)+1+40,"")</x:f>
      </x:c>
      <x:c r="I63" s="3" t="str">
        <x:f>IF(MONTH($C$51-WEEKDAY($C$51,1)+1+41)=MONTH($C$51),$C$51-WEEKDAY($C$51,1)+1+41,"")</x:f>
      </x:c>
      <x:c r="J63" s="1"/>
      <x:c r="K63" s="3" t="str">
        <x:f>IF(MONTH($K$51-WEEKDAY($K$51,1)+1+35)=MONTH($K$51),$K$51-WEEKDAY($K$51,1)+1+35,"")</x:f>
      </x:c>
      <x:c r="L63" s="4" t="str">
        <x:f>IF(MONTH($K$51-WEEKDAY($K$51,1)+1+36)=MONTH($K$51),$K$51-WEEKDAY($K$51,1)+1+36,"")</x:f>
      </x:c>
      <x:c r="M63" s="4" t="str">
        <x:f>IF(MONTH($K$51-WEEKDAY($K$51,1)+1+37)=MONTH($K$51),$K$51-WEEKDAY($K$51,1)+1+37,"")</x:f>
      </x:c>
      <x:c r="N63" s="4" t="str">
        <x:f>IF(MONTH($K$51-WEEKDAY($K$51,1)+1+38)=MONTH($K$51),$K$51-WEEKDAY($K$51,1)+1+38,"")</x:f>
      </x:c>
      <x:c r="O63" s="4" t="str">
        <x:f>IF(MONTH($K$51-WEEKDAY($K$51,1)+1+39)=MONTH($K$51),$K$51-WEEKDAY($K$51,1)+1+39,"")</x:f>
      </x:c>
      <x:c r="P63" s="4" t="str">
        <x:f>IF(MONTH($K$51-WEEKDAY($K$51,1)+1+40)=MONTH($K$51),$K$51-WEEKDAY($K$51,1)+1+40,"")</x:f>
      </x:c>
      <x:c r="Q63" s="3" t="str">
        <x:f>IF(MONTH($K$51-WEEKDAY($K$51,1)+1+41)=MONTH($K$51),$K$51-WEEKDAY($K$51,1)+1+41,"")</x:f>
      </x:c>
      <x:c r="R63" s="1"/>
      <x:c r="S63" s="3" t="str">
        <x:f>IF(MONTH($S$51-WEEKDAY($S$51,1)+1+35)=MONTH($S$51),$S$51-WEEKDAY($S$51,1)+1+35,"")</x:f>
      </x:c>
      <x:c r="T63" s="4" t="str">
        <x:f>IF(MONTH($S$51-WEEKDAY($S$51,1)+1+36)=MONTH($S$51),$S$51-WEEKDAY($S$51,1)+1+36,"")</x:f>
      </x:c>
      <x:c r="U63" s="4" t="str">
        <x:f>IF(MONTH($S$51-WEEKDAY($S$51,1)+1+37)=MONTH($S$51),$S$51-WEEKDAY($S$51,1)+1+37,"")</x:f>
      </x:c>
      <x:c r="V63" s="4" t="str">
        <x:f>IF(MONTH($S$51-WEEKDAY($S$51,1)+1+38)=MONTH($S$51),$S$51-WEEKDAY($S$51,1)+1+38,"")</x:f>
      </x:c>
      <x:c r="W63" s="4" t="str">
        <x:f>IF(MONTH($S$51-WEEKDAY($S$51,1)+1+39)=MONTH($S$51),$S$51-WEEKDAY($S$51,1)+1+39,"")</x:f>
      </x:c>
      <x:c r="X63" s="4" t="str">
        <x:f>IF(MONTH($S$51-WEEKDAY($S$51,1)+1+40)=MONTH($S$51),$S$51-WEEKDAY($S$51,1)+1+40,"")</x:f>
      </x:c>
      <x:c r="Y63" s="3" t="str">
        <x:f>IF(MONTH($S$51-WEEKDAY($S$51,1)+1+41)=MONTH($S$51),$S$51-WEEKDAY($S$51,1)+1+41,"")</x:f>
      </x:c>
    </x:row>
    <x:row r="64" ht="10.5" customHeight="1">
      <x:c r="B64" s="45"/>
      <x:c r="C64" s="5"/>
      <x:c r="D64" s="5"/>
      <x:c r="E64" s="5"/>
      <x:c r="F64" s="5"/>
      <x:c r="G64" s="5"/>
      <x:c r="H64" s="5"/>
      <x:c r="I64" s="5"/>
      <x:c r="J64" s="1"/>
      <x:c r="K64" s="5"/>
      <x:c r="L64" s="5"/>
      <x:c r="M64" s="5"/>
      <x:c r="N64" s="5"/>
      <x:c r="O64" s="5"/>
      <x:c r="P64" s="5"/>
      <x:c r="Q64" s="5"/>
      <x:c r="R64" s="1"/>
      <x:c r="S64" s="5"/>
      <x:c r="T64" s="5"/>
      <x:c r="U64" s="5"/>
      <x:c r="V64" s="5"/>
      <x:c r="W64" s="5"/>
      <x:c r="X64" s="5"/>
      <x:c r="Y64" s="5"/>
    </x:row>
    <x:row r="65" ht="6.75" customHeight="1"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</x:row>
    <x:row r="66" ht="18" customHeight="1">
      <x:c r="B66" s="1"/>
      <x:c r="C66" s="51" t="s">
        <x:v>14</x:v>
      </x:c>
      <x:c r="D66" s="47"/>
      <x:c r="E66" s="47"/>
      <x:c r="F66" s="48"/>
      <x:c r="G66" s="1"/>
      <x:c r="H66" s="52" t="s">
        <x:v>15</x:v>
      </x:c>
      <x:c r="I66" s="47"/>
      <x:c r="J66" s="47"/>
      <x:c r="K66" s="48"/>
      <x:c r="L66" s="1"/>
      <x:c r="M66" s="53" t="s">
        <x:v>16</x:v>
      </x:c>
      <x:c r="N66" s="47"/>
      <x:c r="O66" s="47"/>
      <x:c r="P66" s="48"/>
      <x:c r="Q66" s="1"/>
      <x:c r="R66" s="54" t="s">
        <x:v>17</x:v>
      </x:c>
      <x:c r="S66" s="55"/>
      <x:c r="T66" s="55"/>
      <x:c r="U66" s="55"/>
      <x:c r="V66" s="55"/>
      <x:c r="W66" s="55"/>
      <x:c r="X66" s="55"/>
      <x:c r="Y66" s="56"/>
    </x:row>
    <x:row r="67" ht="6" customHeight="1"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</x:row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</x:sheetData>
  <x:mergeCells>
    <x:mergeCell ref="R66:Y66"/>
    <x:mergeCell ref="K6:Q6"/>
    <x:mergeCell ref="S6:Y6"/>
    <x:mergeCell ref="B21:B34"/>
    <x:mergeCell ref="C21:I21"/>
    <x:mergeCell ref="B36:B49"/>
    <x:mergeCell ref="C36:I36"/>
    <x:mergeCell ref="S21:Y21"/>
    <x:mergeCell ref="K36:Q36"/>
    <x:mergeCell ref="S36:Y36"/>
    <x:mergeCell ref="K51:Q51"/>
    <x:mergeCell ref="S51:Y51"/>
    <x:mergeCell ref="B51:B64"/>
    <x:mergeCell ref="C51:I51"/>
    <x:mergeCell ref="C66:F66"/>
    <x:mergeCell ref="H66:K66"/>
    <x:mergeCell ref="K21:Q21"/>
    <x:mergeCell ref="M66:P66"/>
    <x:mergeCell ref="U2:W3"/>
    <x:mergeCell ref="X2:Y3"/>
    <x:mergeCell ref="C3:S3"/>
    <x:mergeCell ref="C4:Y4"/>
    <x:mergeCell ref="B6:B19"/>
    <x:mergeCell ref="C6:I6"/>
    <x:mergeCell ref="C2:S2"/>
  </x:mergeCells>
  <x:conditionalFormatting sqref="C8:I8">
    <x:cfRule type="expression" dxfId="90" priority="1">
      <x:formula>AND(ISNUMBER(C8),C8=TODAY())</x:formula>
    </x:cfRule>
  </x:conditionalFormatting>
  <x:conditionalFormatting sqref="C10:I10">
    <x:cfRule type="expression" dxfId="89" priority="2">
      <x:formula>AND(ISNUMBER(C10),C10=TODAY())</x:formula>
    </x:cfRule>
  </x:conditionalFormatting>
  <x:conditionalFormatting sqref="C12:I12">
    <x:cfRule type="expression" dxfId="88" priority="3">
      <x:formula>AND(ISNUMBER(C12),C12=TODAY())</x:formula>
    </x:cfRule>
  </x:conditionalFormatting>
  <x:conditionalFormatting sqref="C14:I14">
    <x:cfRule type="expression" dxfId="87" priority="4">
      <x:formula>AND(ISNUMBER(C14),C14=TODAY())</x:formula>
    </x:cfRule>
  </x:conditionalFormatting>
  <x:conditionalFormatting sqref="C16:I16">
    <x:cfRule type="expression" dxfId="86" priority="5">
      <x:formula>AND(ISNUMBER(C16),C16=TODAY())</x:formula>
    </x:cfRule>
  </x:conditionalFormatting>
  <x:conditionalFormatting sqref="C18:I18">
    <x:cfRule type="expression" dxfId="85" priority="6">
      <x:formula>AND(ISNUMBER(C18),C18=TODAY())</x:formula>
    </x:cfRule>
  </x:conditionalFormatting>
  <x:conditionalFormatting sqref="C23:I23">
    <x:cfRule type="expression" dxfId="84" priority="7">
      <x:formula>AND(ISNUMBER(C23),C23=TODAY())</x:formula>
    </x:cfRule>
  </x:conditionalFormatting>
  <x:conditionalFormatting sqref="C25:I25">
    <x:cfRule type="expression" dxfId="83" priority="8">
      <x:formula>AND(ISNUMBER(C25),C25=TODAY())</x:formula>
    </x:cfRule>
  </x:conditionalFormatting>
  <x:conditionalFormatting sqref="C27:I27">
    <x:cfRule type="expression" dxfId="82" priority="9">
      <x:formula>AND(ISNUMBER(C27),C27=TODAY())</x:formula>
    </x:cfRule>
  </x:conditionalFormatting>
  <x:conditionalFormatting sqref="C29:I29">
    <x:cfRule type="expression" dxfId="81" priority="10">
      <x:formula>AND(ISNUMBER(C29),C29=TODAY())</x:formula>
    </x:cfRule>
  </x:conditionalFormatting>
  <x:conditionalFormatting sqref="C31:I31">
    <x:cfRule type="expression" dxfId="80" priority="11">
      <x:formula>AND(ISNUMBER(C31),C31=TODAY())</x:formula>
    </x:cfRule>
  </x:conditionalFormatting>
  <x:conditionalFormatting sqref="C33:I33">
    <x:cfRule type="expression" dxfId="79" priority="12">
      <x:formula>AND(ISNUMBER(C33),C33=TODAY())</x:formula>
    </x:cfRule>
  </x:conditionalFormatting>
  <x:conditionalFormatting sqref="C38:I38">
    <x:cfRule type="expression" dxfId="78" priority="13">
      <x:formula>AND(ISNUMBER(C38),C38=TODAY())</x:formula>
    </x:cfRule>
  </x:conditionalFormatting>
  <x:conditionalFormatting sqref="C40:I40">
    <x:cfRule type="expression" dxfId="77" priority="14">
      <x:formula>AND(ISNUMBER(C40),C40=TODAY())</x:formula>
    </x:cfRule>
  </x:conditionalFormatting>
  <x:conditionalFormatting sqref="C42:I42">
    <x:cfRule type="expression" dxfId="76" priority="15">
      <x:formula>AND(ISNUMBER(C42),C42=TODAY())</x:formula>
    </x:cfRule>
  </x:conditionalFormatting>
  <x:conditionalFormatting sqref="C44:I44">
    <x:cfRule type="expression" dxfId="75" priority="16">
      <x:formula>AND(ISNUMBER(C44),C44=TODAY())</x:formula>
    </x:cfRule>
  </x:conditionalFormatting>
  <x:conditionalFormatting sqref="C46:I46">
    <x:cfRule type="expression" dxfId="74" priority="17">
      <x:formula>AND(ISNUMBER(C46),C46=TODAY())</x:formula>
    </x:cfRule>
  </x:conditionalFormatting>
  <x:conditionalFormatting sqref="C48:I48">
    <x:cfRule type="expression" dxfId="73" priority="18">
      <x:formula>AND(ISNUMBER(C48),C48=TODAY())</x:formula>
    </x:cfRule>
  </x:conditionalFormatting>
  <x:conditionalFormatting sqref="C53:I53">
    <x:cfRule type="expression" dxfId="72" priority="19">
      <x:formula>AND(ISNUMBER(C53),C53=TODAY())</x:formula>
    </x:cfRule>
  </x:conditionalFormatting>
  <x:conditionalFormatting sqref="C55:I55">
    <x:cfRule type="expression" dxfId="71" priority="20">
      <x:formula>AND(ISNUMBER(C55),C55=TODAY())</x:formula>
    </x:cfRule>
  </x:conditionalFormatting>
  <x:conditionalFormatting sqref="C57:I57">
    <x:cfRule type="expression" dxfId="70" priority="21">
      <x:formula>AND(ISNUMBER(C57),C57=TODAY())</x:formula>
    </x:cfRule>
  </x:conditionalFormatting>
  <x:conditionalFormatting sqref="C59:I59">
    <x:cfRule type="expression" dxfId="69" priority="22">
      <x:formula>AND(ISNUMBER(C59),C59=TODAY())</x:formula>
    </x:cfRule>
  </x:conditionalFormatting>
  <x:conditionalFormatting sqref="C61:I61">
    <x:cfRule type="expression" dxfId="68" priority="23">
      <x:formula>AND(ISNUMBER(C61),C61=TODAY())</x:formula>
    </x:cfRule>
  </x:conditionalFormatting>
  <x:conditionalFormatting sqref="C63:I63">
    <x:cfRule type="expression" dxfId="67" priority="24">
      <x:formula>AND(ISNUMBER(C63),C63=TODAY())</x:formula>
    </x:cfRule>
  </x:conditionalFormatting>
  <x:conditionalFormatting sqref="K8:Q8">
    <x:cfRule type="expression" dxfId="66" priority="25">
      <x:formula>AND(ISNUMBER(K8),K8=TODAY())</x:formula>
    </x:cfRule>
  </x:conditionalFormatting>
  <x:conditionalFormatting sqref="K10:Q10">
    <x:cfRule type="expression" dxfId="65" priority="26">
      <x:formula>AND(ISNUMBER(K10),K10=TODAY())</x:formula>
    </x:cfRule>
  </x:conditionalFormatting>
  <x:conditionalFormatting sqref="K12:Q12">
    <x:cfRule type="expression" dxfId="64" priority="27">
      <x:formula>AND(ISNUMBER(K12),K12=TODAY())</x:formula>
    </x:cfRule>
  </x:conditionalFormatting>
  <x:conditionalFormatting sqref="K14:Q14">
    <x:cfRule type="expression" dxfId="63" priority="28">
      <x:formula>AND(ISNUMBER(K14),K14=TODAY())</x:formula>
    </x:cfRule>
  </x:conditionalFormatting>
  <x:conditionalFormatting sqref="K16:Q16">
    <x:cfRule type="expression" dxfId="62" priority="29">
      <x:formula>AND(ISNUMBER(K16),K16=TODAY())</x:formula>
    </x:cfRule>
  </x:conditionalFormatting>
  <x:conditionalFormatting sqref="K18:Q18">
    <x:cfRule type="expression" dxfId="61" priority="30">
      <x:formula>AND(ISNUMBER(K18),K18=TODAY())</x:formula>
    </x:cfRule>
  </x:conditionalFormatting>
  <x:conditionalFormatting sqref="K23:Q23">
    <x:cfRule type="expression" dxfId="60" priority="31">
      <x:formula>AND(ISNUMBER(K23),K23=TODAY())</x:formula>
    </x:cfRule>
  </x:conditionalFormatting>
  <x:conditionalFormatting sqref="K25:Q25">
    <x:cfRule type="expression" dxfId="59" priority="32">
      <x:formula>AND(ISNUMBER(K25),K25=TODAY())</x:formula>
    </x:cfRule>
  </x:conditionalFormatting>
  <x:conditionalFormatting sqref="K27:Q27">
    <x:cfRule type="expression" dxfId="58" priority="33">
      <x:formula>AND(ISNUMBER(K27),K27=TODAY())</x:formula>
    </x:cfRule>
  </x:conditionalFormatting>
  <x:conditionalFormatting sqref="K29:Q29">
    <x:cfRule type="expression" dxfId="57" priority="34">
      <x:formula>AND(ISNUMBER(K29),K29=TODAY())</x:formula>
    </x:cfRule>
  </x:conditionalFormatting>
  <x:conditionalFormatting sqref="K31:Q31">
    <x:cfRule type="expression" dxfId="56" priority="35">
      <x:formula>AND(ISNUMBER(K31),K31=TODAY())</x:formula>
    </x:cfRule>
  </x:conditionalFormatting>
  <x:conditionalFormatting sqref="K33:Q33">
    <x:cfRule type="expression" dxfId="55" priority="36">
      <x:formula>AND(ISNUMBER(K33),K33=TODAY())</x:formula>
    </x:cfRule>
  </x:conditionalFormatting>
  <x:conditionalFormatting sqref="K38:Q38">
    <x:cfRule type="expression" dxfId="54" priority="37">
      <x:formula>AND(ISNUMBER(K38),K38=TODAY())</x:formula>
    </x:cfRule>
  </x:conditionalFormatting>
  <x:conditionalFormatting sqref="K40:Q40">
    <x:cfRule type="expression" dxfId="53" priority="38">
      <x:formula>AND(ISNUMBER(K40),K40=TODAY())</x:formula>
    </x:cfRule>
  </x:conditionalFormatting>
  <x:conditionalFormatting sqref="K42:Q42">
    <x:cfRule type="expression" dxfId="52" priority="39">
      <x:formula>AND(ISNUMBER(K42),K42=TODAY())</x:formula>
    </x:cfRule>
  </x:conditionalFormatting>
  <x:conditionalFormatting sqref="K44:Q44">
    <x:cfRule type="expression" dxfId="51" priority="40">
      <x:formula>AND(ISNUMBER(K44),K44=TODAY())</x:formula>
    </x:cfRule>
  </x:conditionalFormatting>
  <x:conditionalFormatting sqref="K46:Q46">
    <x:cfRule type="expression" dxfId="50" priority="41">
      <x:formula>AND(ISNUMBER(K46),K46=TODAY())</x:formula>
    </x:cfRule>
  </x:conditionalFormatting>
  <x:conditionalFormatting sqref="K48:Q48">
    <x:cfRule type="expression" dxfId="49" priority="42">
      <x:formula>AND(ISNUMBER(K48),K48=TODAY())</x:formula>
    </x:cfRule>
  </x:conditionalFormatting>
  <x:conditionalFormatting sqref="K53:Q53">
    <x:cfRule type="expression" dxfId="48" priority="43">
      <x:formula>AND(ISNUMBER(K53),K53=TODAY())</x:formula>
    </x:cfRule>
  </x:conditionalFormatting>
  <x:conditionalFormatting sqref="K55:Q55">
    <x:cfRule type="expression" dxfId="47" priority="44">
      <x:formula>AND(ISNUMBER(K55),K55=TODAY())</x:formula>
    </x:cfRule>
  </x:conditionalFormatting>
  <x:conditionalFormatting sqref="K57:Q57">
    <x:cfRule type="expression" dxfId="46" priority="45">
      <x:formula>AND(ISNUMBER(K57),K57=TODAY())</x:formula>
    </x:cfRule>
  </x:conditionalFormatting>
  <x:conditionalFormatting sqref="K59:Q59">
    <x:cfRule type="expression" dxfId="45" priority="46">
      <x:formula>AND(ISNUMBER(K59),K59=TODAY())</x:formula>
    </x:cfRule>
  </x:conditionalFormatting>
  <x:conditionalFormatting sqref="K61:Q61">
    <x:cfRule type="expression" dxfId="44" priority="47">
      <x:formula>AND(ISNUMBER(K61),K61=TODAY())</x:formula>
    </x:cfRule>
  </x:conditionalFormatting>
  <x:conditionalFormatting sqref="K63:Q63">
    <x:cfRule type="expression" dxfId="43" priority="48">
      <x:formula>AND(ISNUMBER(K63),K63=TODAY())</x:formula>
    </x:cfRule>
  </x:conditionalFormatting>
  <x:conditionalFormatting sqref="S8:Y8">
    <x:cfRule type="expression" dxfId="42" priority="49">
      <x:formula>AND(ISNUMBER(S8),S8=TODAY())</x:formula>
    </x:cfRule>
  </x:conditionalFormatting>
  <x:conditionalFormatting sqref="S10:Y10">
    <x:cfRule type="expression" dxfId="41" priority="50">
      <x:formula>AND(ISNUMBER(S10),S10=TODAY())</x:formula>
    </x:cfRule>
  </x:conditionalFormatting>
  <x:conditionalFormatting sqref="S12:Y12">
    <x:cfRule type="expression" dxfId="40" priority="51">
      <x:formula>AND(ISNUMBER(S12),S12=TODAY())</x:formula>
    </x:cfRule>
  </x:conditionalFormatting>
  <x:conditionalFormatting sqref="S14:Y14">
    <x:cfRule type="expression" dxfId="39" priority="52">
      <x:formula>AND(ISNUMBER(S14),S14=TODAY())</x:formula>
    </x:cfRule>
  </x:conditionalFormatting>
  <x:conditionalFormatting sqref="S16:Y16">
    <x:cfRule type="expression" dxfId="38" priority="53">
      <x:formula>AND(ISNUMBER(S16),S16=TODAY())</x:formula>
    </x:cfRule>
  </x:conditionalFormatting>
  <x:conditionalFormatting sqref="S18:Y18">
    <x:cfRule type="expression" dxfId="37" priority="54">
      <x:formula>AND(ISNUMBER(S18),S18=TODAY())</x:formula>
    </x:cfRule>
  </x:conditionalFormatting>
  <x:conditionalFormatting sqref="S23:Y23">
    <x:cfRule type="expression" dxfId="36" priority="55">
      <x:formula>AND(ISNUMBER(S23),S23=TODAY())</x:formula>
    </x:cfRule>
  </x:conditionalFormatting>
  <x:conditionalFormatting sqref="S25:Y25">
    <x:cfRule type="expression" dxfId="35" priority="56">
      <x:formula>AND(ISNUMBER(S25),S25=TODAY())</x:formula>
    </x:cfRule>
  </x:conditionalFormatting>
  <x:conditionalFormatting sqref="S27:Y27">
    <x:cfRule type="expression" dxfId="34" priority="57">
      <x:formula>AND(ISNUMBER(S27),S27=TODAY())</x:formula>
    </x:cfRule>
  </x:conditionalFormatting>
  <x:conditionalFormatting sqref="S29:Y29">
    <x:cfRule type="expression" dxfId="33" priority="58">
      <x:formula>AND(ISNUMBER(S29),S29=TODAY())</x:formula>
    </x:cfRule>
  </x:conditionalFormatting>
  <x:conditionalFormatting sqref="S31:Y31">
    <x:cfRule type="expression" dxfId="32" priority="59">
      <x:formula>AND(ISNUMBER(S31),S31=TODAY())</x:formula>
    </x:cfRule>
  </x:conditionalFormatting>
  <x:conditionalFormatting sqref="S33:Y33">
    <x:cfRule type="expression" dxfId="31" priority="60">
      <x:formula>AND(ISNUMBER(S33),S33=TODAY())</x:formula>
    </x:cfRule>
  </x:conditionalFormatting>
  <x:conditionalFormatting sqref="S38:Y38">
    <x:cfRule type="expression" dxfId="30" priority="61">
      <x:formula>AND(ISNUMBER(S38),S38=TODAY())</x:formula>
    </x:cfRule>
  </x:conditionalFormatting>
  <x:conditionalFormatting sqref="S40:Y40">
    <x:cfRule type="expression" dxfId="29" priority="62">
      <x:formula>AND(ISNUMBER(S40),S40=TODAY())</x:formula>
    </x:cfRule>
  </x:conditionalFormatting>
  <x:conditionalFormatting sqref="S42:Y42">
    <x:cfRule type="expression" dxfId="28" priority="63">
      <x:formula>AND(ISNUMBER(S42),S42=TODAY())</x:formula>
    </x:cfRule>
  </x:conditionalFormatting>
  <x:conditionalFormatting sqref="S44:Y44">
    <x:cfRule type="expression" dxfId="27" priority="64">
      <x:formula>AND(ISNUMBER(S44),S44=TODAY())</x:formula>
    </x:cfRule>
  </x:conditionalFormatting>
  <x:conditionalFormatting sqref="S46:Y46">
    <x:cfRule type="expression" dxfId="26" priority="65">
      <x:formula>AND(ISNUMBER(S46),S46=TODAY())</x:formula>
    </x:cfRule>
  </x:conditionalFormatting>
  <x:conditionalFormatting sqref="S48:Y48">
    <x:cfRule type="expression" dxfId="25" priority="66">
      <x:formula>AND(ISNUMBER(S48),S48=TODAY())</x:formula>
    </x:cfRule>
  </x:conditionalFormatting>
  <x:conditionalFormatting sqref="S53:Y53">
    <x:cfRule type="expression" dxfId="24" priority="67">
      <x:formula>AND(ISNUMBER(S53),S53=TODAY())</x:formula>
    </x:cfRule>
  </x:conditionalFormatting>
  <x:conditionalFormatting sqref="S55:Y55">
    <x:cfRule type="expression" dxfId="23" priority="68">
      <x:formula>AND(ISNUMBER(S55),S55=TODAY())</x:formula>
    </x:cfRule>
  </x:conditionalFormatting>
  <x:conditionalFormatting sqref="S57:Y57">
    <x:cfRule type="expression" dxfId="22" priority="69">
      <x:formula>AND(ISNUMBER(S57),S57=TODAY())</x:formula>
    </x:cfRule>
  </x:conditionalFormatting>
  <x:conditionalFormatting sqref="S59:Y59">
    <x:cfRule type="expression" dxfId="21" priority="70">
      <x:formula>AND(ISNUMBER(S59),S59=TODAY())</x:formula>
    </x:cfRule>
  </x:conditionalFormatting>
  <x:conditionalFormatting sqref="S61:Y61">
    <x:cfRule type="expression" dxfId="20" priority="71">
      <x:formula>AND(ISNUMBER(S61),S61=TODAY())</x:formula>
    </x:cfRule>
  </x:conditionalFormatting>
  <x:conditionalFormatting sqref="S63:Y63">
    <x:cfRule type="expression" dxfId="19" priority="72">
      <x:formula>AND(ISNUMBER(S63),S63=TODAY())</x:formula>
    </x:cfRule>
  </x:conditionalFormatting>
  <x:dataValidations count="1">
    <x:dataValidation type="decimal" allowBlank="1" sqref="X2">
      <x:formula1>2000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23" customWidth="1"/>
    <x:col min="2" max="22" width="4.83203125" style="23" customWidth="1"/>
    <x:col min="23" max="23" width="5" style="23" customWidth="1"/>
    <x:col min="24" max="24" width="12.5" style="23" customWidth="1"/>
    <x:col min="25" max="26" width="8.83203125" style="23" customWidth="1"/>
    <x:col min="27" max="16384" width="12.6640625" style="23" customWidth="0"/>
  </x:cols>
  <x:sheetData>
    <x:row r="1"/>
    <x:row r="2" ht="19.5" customHeight="1">
      <x:c r="B2" s="68" t="s">
        <x:v>18</x:v>
      </x:c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28"/>
      <x:c r="P2" s="70" t="s">
        <x:v>19</x:v>
      </x:c>
      <x:c r="Q2" s="71"/>
      <x:c r="R2" s="72"/>
      <x:c r="S2" s="28"/>
      <x:c r="T2" s="70" t="s">
        <x:v>0</x:v>
      </x:c>
      <x:c r="U2" s="71"/>
      <x:c r="V2" s="72"/>
      <x:c r="W2" s="24"/>
      <x:c r="X2" s="25" t="n">
        <x:f>IF($P$3="January",1,IF($P$3="February",2,IF($P$3="March",3,IF($P$3="April",4,IF($P$3="May",5,IF($P$3="June",6,IF($P$3="July",7,IF($P$3="August",8,IF($P$3="September",9,IF($P$3="October",10,IF($P$3="November",11,12)))))))))))</x:f>
        <x:v>6</x:v>
      </x:c>
    </x:row>
    <x:row r="3" ht="20" customHeight="1">
      <x:c r="B3" s="73" t="s">
        <x:v>20</x:v>
      </x:c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29"/>
      <x:c r="P3" s="75" t="s">
        <x:v>21</x:v>
      </x:c>
      <x:c r="Q3" s="76"/>
      <x:c r="R3" s="77"/>
      <x:c r="S3" s="29"/>
      <x:c r="T3" s="78" t="n">
        <x:f>Annual!$X$2</x:f>
        <x:v>2026</x:v>
      </x:c>
      <x:c r="U3" s="79"/>
      <x:c r="V3" s="80"/>
      <x:c r="W3" s="24"/>
      <x:c r="X3" s="24"/>
    </x:row>
    <x:row r="4" ht="30" customHeight="1">
      <x:c r="B4" s="81" t="s">
        <x:v>22</x:v>
      </x:c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3"/>
      <x:c r="W4" s="24"/>
      <x:c r="X4" s="24"/>
    </x:row>
    <x:row r="5"/>
    <x:row r="6" ht="18" customHeight="1">
      <x:c r="B6" s="84" t="s">
        <x:v>23</x:v>
      </x:c>
      <x:c r="C6" s="58"/>
      <x:c r="D6" s="58"/>
      <x:c r="E6" s="59"/>
      <x:c r="F6" s="85" t="s">
        <x:v>24</x:v>
      </x:c>
      <x:c r="G6" s="58"/>
      <x:c r="H6" s="59"/>
      <x:c r="I6" s="86" t="s">
        <x:v>25</x:v>
      </x:c>
      <x:c r="J6" s="58"/>
      <x:c r="K6" s="59"/>
      <x:c r="L6" s="87" t="s">
        <x:v>26</x:v>
      </x:c>
      <x:c r="M6" s="58"/>
      <x:c r="N6" s="59"/>
      <x:c r="O6" s="88" t="s">
        <x:v>27</x:v>
      </x:c>
      <x:c r="P6" s="58"/>
      <x:c r="Q6" s="59"/>
      <x:c r="R6" s="89" t="s">
        <x:v>28</x:v>
      </x:c>
      <x:c r="S6" s="58"/>
      <x:c r="T6" s="58"/>
      <x:c r="U6" s="58"/>
      <x:c r="V6" s="59"/>
      <x:c r="W6" s="24"/>
      <x:c r="X6" s="24"/>
    </x:row>
    <x:row r="7"/>
    <x:row r="8" ht="21.75" customHeight="1">
      <x:c r="B8" s="61" t="str">
        <x:f>TEXT(DATE($T$3,$X$2,1),"mmmm yyyy")</x:f>
        <x:v>June 2026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3"/>
      <x:c r="W8" s="24"/>
      <x:c r="X8" s="24"/>
    </x:row>
    <x:row r="9" ht="18" customHeight="1">
      <x:c r="B9" s="64" t="s">
        <x:v>29</x:v>
      </x:c>
      <x:c r="C9" s="58"/>
      <x:c r="D9" s="59"/>
      <x:c r="E9" s="65" t="s">
        <x:v>30</x:v>
      </x:c>
      <x:c r="F9" s="58"/>
      <x:c r="G9" s="59"/>
      <x:c r="H9" s="65" t="s">
        <x:v>31</x:v>
      </x:c>
      <x:c r="I9" s="58"/>
      <x:c r="J9" s="59"/>
      <x:c r="K9" s="65" t="s">
        <x:v>32</x:v>
      </x:c>
      <x:c r="L9" s="58"/>
      <x:c r="M9" s="59"/>
      <x:c r="N9" s="65" t="s">
        <x:v>33</x:v>
      </x:c>
      <x:c r="O9" s="58"/>
      <x:c r="P9" s="59"/>
      <x:c r="Q9" s="65" t="s">
        <x:v>34</x:v>
      </x:c>
      <x:c r="R9" s="58"/>
      <x:c r="S9" s="59"/>
      <x:c r="T9" s="64" t="s">
        <x:v>35</x:v>
      </x:c>
      <x:c r="U9" s="58"/>
      <x:c r="V9" s="59"/>
      <x:c r="W9" s="24"/>
      <x:c r="X9" s="24"/>
    </x:row>
    <x:row r="10" ht="12.75" customHeight="1">
      <x:c r="B10" s="66" t="n">
        <x:f>DATE($T$3,$X$2,1)-WEEKDAY(DATE($T$3,$X$2,1),1)+1+0</x:f>
        <x:v>46173</x:v>
      </x:c>
      <x:c r="C10" s="58"/>
      <x:c r="D10" s="59"/>
      <x:c r="E10" s="67" t="n">
        <x:f>DATE($T$3,$X$2,1)-WEEKDAY(DATE($T$3,$X$2,1),1)+1+1</x:f>
        <x:v>46174</x:v>
      </x:c>
      <x:c r="F10" s="58"/>
      <x:c r="G10" s="59"/>
      <x:c r="H10" s="67" t="n">
        <x:f>DATE($T$3,$X$2,1)-WEEKDAY(DATE($T$3,$X$2,1),1)+1+2</x:f>
        <x:v>46175</x:v>
      </x:c>
      <x:c r="I10" s="58"/>
      <x:c r="J10" s="59"/>
      <x:c r="K10" s="67" t="n">
        <x:f>DATE($T$3,$X$2,1)-WEEKDAY(DATE($T$3,$X$2,1),1)+1+3</x:f>
        <x:v>46176</x:v>
      </x:c>
      <x:c r="L10" s="58"/>
      <x:c r="M10" s="59"/>
      <x:c r="N10" s="67" t="n">
        <x:f>DATE($T$3,$X$2,1)-WEEKDAY(DATE($T$3,$X$2,1),1)+1+4</x:f>
        <x:v>46177</x:v>
      </x:c>
      <x:c r="O10" s="58"/>
      <x:c r="P10" s="59"/>
      <x:c r="Q10" s="67" t="n">
        <x:f>DATE($T$3,$X$2,1)-WEEKDAY(DATE($T$3,$X$2,1),1)+1+5</x:f>
        <x:v>46178</x:v>
      </x:c>
      <x:c r="R10" s="58"/>
      <x:c r="S10" s="59"/>
      <x:c r="T10" s="66" t="n">
        <x:f>DATE($T$3,$X$2,1)-WEEKDAY(DATE($T$3,$X$2,1),1)+1+6</x:f>
        <x:v>46179</x:v>
      </x:c>
      <x:c r="U10" s="58"/>
      <x:c r="V10" s="59"/>
      <x:c r="W10" s="24"/>
      <x:c r="X10" s="24"/>
    </x:row>
    <x:row r="11" ht="16.5" customHeight="1">
      <x:c r="B11" s="57" t="str">
        <x:f t="array" ref="B11">IFERROR("["&amp;INDEX($D$44:$D$67,MATCH(TEXT(B10,"yyyymmdd")&amp;"|1",$X$44:$X$67,0))&amp;"] "&amp;INDEX($G$44:$G$67,MATCH(TEXT(B10,"yyyymmdd")&amp;"|1",$X$44:$X$67,0))&amp;IF(INDEX($Q$44:$Q$67,MATCH(TEXT(B10,"yyyymmdd")&amp;"|1",$X$44:$X$67,0))&lt;&gt;""," • "&amp;INDEX($Q$44:$Q$67,MATCH(TEXT(B10,"yyyymmdd")&amp;"|1",$X$44:$X$67,0)),"")&amp;IF(INDEX($N$44:$N$67,MATCH(TEXT(B10,"yyyymmdd")&amp;"|1",$X$44:$X$67,0))&lt;&gt;""," — "&amp;INDEX($N$44:$N$67,MATCH(TEXT(B10,"yyyymmdd")&amp;"|1",$X$44:$X$67,0)),"")&amp;IF(AND(INDEX($S$44:$S$67,MATCH(TEXT(B10,"yyyymmdd")&amp;"|1",$X$44:$X$67,0))&lt;&gt;"",INDEX($S$44:$S$67,MATCH(TEXT(B10,"yyyymmdd")&amp;"|1",$X$44:$X$67,0))&lt;&gt;"Planned")," • "&amp;INDEX($S$44:$S$67,MATCH(TEXT(B10,"yyyymmdd")&amp;"|1",$X$44:$X$67,0)),""),"")</x:f>
        <x:v>[Close] Prior-month data cutoff and close kickoff • 9:00 AM — Accounting</x:v>
      </x:c>
      <x:c r="C11" s="58"/>
      <x:c r="D11" s="59"/>
      <x:c r="E11" s="60" t="str">
        <x:f t="array" ref="E11">IFERROR("["&amp;INDEX($D$44:$D$67,MATCH(TEXT(E10,"yyyymmdd")&amp;"|1",$X$44:$X$67,0))&amp;"] "&amp;INDEX($G$44:$G$67,MATCH(TEXT(E10,"yyyymmdd")&amp;"|1",$X$44:$X$67,0))&amp;IF(INDEX($Q$44:$Q$67,MATCH(TEXT(E10,"yyyymmdd")&amp;"|1",$X$44:$X$67,0))&lt;&gt;""," • "&amp;INDEX($Q$44:$Q$67,MATCH(TEXT(E10,"yyyymmdd")&amp;"|1",$X$44:$X$67,0)),"")&amp;IF(INDEX($N$44:$N$67,MATCH(TEXT(E10,"yyyymmdd")&amp;"|1",$X$44:$X$67,0))&lt;&gt;""," — "&amp;INDEX($N$44:$N$67,MATCH(TEXT(E10,"yyyymmdd")&amp;"|1",$X$44:$X$67,0)),"")&amp;IF(AND(INDEX($S$44:$S$67,MATCH(TEXT(E10,"yyyymmdd")&amp;"|1",$X$44:$X$67,0))&lt;&gt;"",INDEX($S$44:$S$67,MATCH(TEXT(E10,"yyyymmdd")&amp;"|1",$X$44:$X$67,0))&lt;&gt;"Planned")," • "&amp;INDEX($S$44:$S$67,MATCH(TEXT(E10,"yyyymmdd")&amp;"|1",$X$44:$X$67,0)),""),"")</x:f>
        <x:v>[Close] Prior-month data cutoff and close kickoff • 9:00 AM — Accounting</x:v>
      </x:c>
      <x:c r="F11" s="58"/>
      <x:c r="G11" s="59"/>
      <x:c r="H11" s="60" t="str">
        <x:f t="array" ref="H11">IFERROR("["&amp;INDEX($D$44:$D$67,MATCH(TEXT(H10,"yyyymmdd")&amp;"|1",$X$44:$X$67,0))&amp;"] "&amp;INDEX($G$44:$G$67,MATCH(TEXT(H10,"yyyymmdd")&amp;"|1",$X$44:$X$67,0))&amp;IF(INDEX($Q$44:$Q$67,MATCH(TEXT(H10,"yyyymmdd")&amp;"|1",$X$44:$X$67,0))&lt;&gt;""," • "&amp;INDEX($Q$44:$Q$67,MATCH(TEXT(H10,"yyyymmdd")&amp;"|1",$X$44:$X$67,0)),"")&amp;IF(INDEX($N$44:$N$67,MATCH(TEXT(H10,"yyyymmdd")&amp;"|1",$X$44:$X$67,0))&lt;&gt;""," — "&amp;INDEX($N$44:$N$67,MATCH(TEXT(H10,"yyyymmdd")&amp;"|1",$X$44:$X$67,0)),"")&amp;IF(AND(INDEX($S$44:$S$67,MATCH(TEXT(H10,"yyyymmdd")&amp;"|1",$X$44:$X$67,0))&lt;&gt;"",INDEX($S$44:$S$67,MATCH(TEXT(H10,"yyyymmdd")&amp;"|1",$X$44:$X$67,0))&lt;&gt;"Planned")," • "&amp;INDEX($S$44:$S$67,MATCH(TEXT(H10,"yyyymmdd")&amp;"|1",$X$44:$X$67,0)),""),"")</x:f>
        <x:v>[Close] Prior-month data cutoff and close kickoff • 9:00 AM — Accounting</x:v>
      </x:c>
      <x:c r="I11" s="58"/>
      <x:c r="J11" s="59"/>
      <x:c r="K11" s="60" t="str">
        <x:f t="array" ref="K11">IFERROR("["&amp;INDEX($D$44:$D$67,MATCH(TEXT(K10,"yyyymmdd")&amp;"|1",$X$44:$X$67,0))&amp;"] "&amp;INDEX($G$44:$G$67,MATCH(TEXT(K10,"yyyymmdd")&amp;"|1",$X$44:$X$67,0))&amp;IF(INDEX($Q$44:$Q$67,MATCH(TEXT(K10,"yyyymmdd")&amp;"|1",$X$44:$X$67,0))&lt;&gt;""," • "&amp;INDEX($Q$44:$Q$67,MATCH(TEXT(K10,"yyyymmdd")&amp;"|1",$X$44:$X$67,0)),"")&amp;IF(INDEX($N$44:$N$67,MATCH(TEXT(K10,"yyyymmdd")&amp;"|1",$X$44:$X$67,0))&lt;&gt;""," — "&amp;INDEX($N$44:$N$67,MATCH(TEXT(K10,"yyyymmdd")&amp;"|1",$X$44:$X$67,0)),"")&amp;IF(AND(INDEX($S$44:$S$67,MATCH(TEXT(K10,"yyyymmdd")&amp;"|1",$X$44:$X$67,0))&lt;&gt;"",INDEX($S$44:$S$67,MATCH(TEXT(K10,"yyyymmdd")&amp;"|1",$X$44:$X$67,0))&lt;&gt;"Planned")," • "&amp;INDEX($S$44:$S$67,MATCH(TEXT(K10,"yyyymmdd")&amp;"|1",$X$44:$X$67,0)),""),"")</x:f>
        <x:v>[Close] Prior-month data cutoff and close kickoff • 9:00 AM — Accounting</x:v>
      </x:c>
      <x:c r="L11" s="58"/>
      <x:c r="M11" s="59"/>
      <x:c r="N11" s="60" t="str">
        <x:f t="array" ref="N11">IFERROR("["&amp;INDEX($D$44:$D$67,MATCH(TEXT(N10,"yyyymmdd")&amp;"|1",$X$44:$X$67,0))&amp;"] "&amp;INDEX($G$44:$G$67,MATCH(TEXT(N10,"yyyymmdd")&amp;"|1",$X$44:$X$67,0))&amp;IF(INDEX($Q$44:$Q$67,MATCH(TEXT(N10,"yyyymmdd")&amp;"|1",$X$44:$X$67,0))&lt;&gt;""," • "&amp;INDEX($Q$44:$Q$67,MATCH(TEXT(N10,"yyyymmdd")&amp;"|1",$X$44:$X$67,0)),"")&amp;IF(INDEX($N$44:$N$67,MATCH(TEXT(N10,"yyyymmdd")&amp;"|1",$X$44:$X$67,0))&lt;&gt;""," — "&amp;INDEX($N$44:$N$67,MATCH(TEXT(N10,"yyyymmdd")&amp;"|1",$X$44:$X$67,0)),"")&amp;IF(AND(INDEX($S$44:$S$67,MATCH(TEXT(N10,"yyyymmdd")&amp;"|1",$X$44:$X$67,0))&lt;&gt;"",INDEX($S$44:$S$67,MATCH(TEXT(N10,"yyyymmdd")&amp;"|1",$X$44:$X$67,0))&lt;&gt;"Planned")," • "&amp;INDEX($S$44:$S$67,MATCH(TEXT(N10,"yyyymmdd")&amp;"|1",$X$44:$X$67,0)),""),"")</x:f>
        <x:v>[Close] Prior-month data cutoff and close kickoff • 9:00 AM — Accounting</x:v>
      </x:c>
      <x:c r="O11" s="58"/>
      <x:c r="P11" s="59"/>
      <x:c r="Q11" s="60" t="str">
        <x:f t="array" ref="Q11">IFERROR("["&amp;INDEX($D$44:$D$67,MATCH(TEXT(Q10,"yyyymmdd")&amp;"|1",$X$44:$X$67,0))&amp;"] "&amp;INDEX($G$44:$G$67,MATCH(TEXT(Q10,"yyyymmdd")&amp;"|1",$X$44:$X$67,0))&amp;IF(INDEX($Q$44:$Q$67,MATCH(TEXT(Q10,"yyyymmdd")&amp;"|1",$X$44:$X$67,0))&lt;&gt;""," • "&amp;INDEX($Q$44:$Q$67,MATCH(TEXT(Q10,"yyyymmdd")&amp;"|1",$X$44:$X$67,0)),"")&amp;IF(INDEX($N$44:$N$67,MATCH(TEXT(Q10,"yyyymmdd")&amp;"|1",$X$44:$X$67,0))&lt;&gt;""," — "&amp;INDEX($N$44:$N$67,MATCH(TEXT(Q10,"yyyymmdd")&amp;"|1",$X$44:$X$67,0)),"")&amp;IF(AND(INDEX($S$44:$S$67,MATCH(TEXT(Q10,"yyyymmdd")&amp;"|1",$X$44:$X$67,0))&lt;&gt;"",INDEX($S$44:$S$67,MATCH(TEXT(Q10,"yyyymmdd")&amp;"|1",$X$44:$X$67,0))&lt;&gt;"Planned")," • "&amp;INDEX($S$44:$S$67,MATCH(TEXT(Q10,"yyyymmdd")&amp;"|1",$X$44:$X$67,0)),""),"")</x:f>
        <x:v>[Close] Prior-month data cutoff and close kickoff • 9:00 AM — Accounting</x:v>
      </x:c>
      <x:c r="R11" s="58"/>
      <x:c r="S11" s="59"/>
      <x:c r="T11" s="57" t="str">
        <x:f t="array" ref="T11">IFERROR("["&amp;INDEX($D$44:$D$67,MATCH(TEXT(T10,"yyyymmdd")&amp;"|1",$X$44:$X$67,0))&amp;"] "&amp;INDEX($G$44:$G$67,MATCH(TEXT(T10,"yyyymmdd")&amp;"|1",$X$44:$X$67,0))&amp;IF(INDEX($Q$44:$Q$67,MATCH(TEXT(T10,"yyyymmdd")&amp;"|1",$X$44:$X$67,0))&lt;&gt;""," • "&amp;INDEX($Q$44:$Q$67,MATCH(TEXT(T10,"yyyymmdd")&amp;"|1",$X$44:$X$67,0)),"")&amp;IF(INDEX($N$44:$N$67,MATCH(TEXT(T10,"yyyymmdd")&amp;"|1",$X$44:$X$67,0))&lt;&gt;""," — "&amp;INDEX($N$44:$N$67,MATCH(TEXT(T10,"yyyymmdd")&amp;"|1",$X$44:$X$67,0)),"")&amp;IF(AND(INDEX($S$44:$S$67,MATCH(TEXT(T10,"yyyymmdd")&amp;"|1",$X$44:$X$67,0))&lt;&gt;"",INDEX($S$44:$S$67,MATCH(TEXT(T10,"yyyymmdd")&amp;"|1",$X$44:$X$67,0))&lt;&gt;"Planned")," • "&amp;INDEX($S$44:$S$67,MATCH(TEXT(T10,"yyyymmdd")&amp;"|1",$X$44:$X$67,0)),""),"")</x:f>
        <x:v>[Close] Prior-month data cutoff and close kickoff • 9:00 AM — Accounting</x:v>
      </x:c>
      <x:c r="U11" s="58"/>
      <x:c r="V11" s="59"/>
      <x:c r="W11" s="24"/>
      <x:c r="X11" s="24"/>
    </x:row>
    <x:row r="12" ht="16.5" customHeight="1">
      <x:c r="B12" s="57" t="str">
        <x:f t="array" ref="B12">IFERROR("["&amp;INDEX($D$44:$D$67,MATCH(TEXT(B10,"yyyymmdd")&amp;"|2",$X$44:$X$67,0))&amp;"] "&amp;INDEX($G$44:$G$67,MATCH(TEXT(B10,"yyyymmdd")&amp;"|2",$X$44:$X$67,0))&amp;IF(INDEX($Q$44:$Q$67,MATCH(TEXT(B10,"yyyymmdd")&amp;"|2",$X$44:$X$67,0))&lt;&gt;""," • "&amp;INDEX($Q$44:$Q$67,MATCH(TEXT(B10,"yyyymmdd")&amp;"|2",$X$44:$X$67,0)),"")&amp;IF(INDEX($N$44:$N$67,MATCH(TEXT(B10,"yyyymmdd")&amp;"|2",$X$44:$X$67,0))&lt;&gt;""," — "&amp;INDEX($N$44:$N$67,MATCH(TEXT(B10,"yyyymmdd")&amp;"|2",$X$44:$X$67,0)),"")&amp;IF(AND(INDEX($S$44:$S$67,MATCH(TEXT(B10,"yyyymmdd")&amp;"|2",$X$44:$X$67,0))&lt;&gt;"",INDEX($S$44:$S$67,MATCH(TEXT(B10,"yyyymmdd")&amp;"|2",$X$44:$X$67,0))&lt;&gt;"Planned")," • "&amp;INDEX($S$44:$S$67,MATCH(TEXT(B10,"yyyymmdd")&amp;"|2",$X$44:$X$67,0)),""),"")</x:f>
      </x:c>
      <x:c r="C12" s="58"/>
      <x:c r="D12" s="59"/>
      <x:c r="E12" s="60" t="str">
        <x:f t="array" ref="E12">IFERROR("["&amp;INDEX($D$44:$D$67,MATCH(TEXT(E10,"yyyymmdd")&amp;"|2",$X$44:$X$67,0))&amp;"] "&amp;INDEX($G$44:$G$67,MATCH(TEXT(E10,"yyyymmdd")&amp;"|2",$X$44:$X$67,0))&amp;IF(INDEX($Q$44:$Q$67,MATCH(TEXT(E10,"yyyymmdd")&amp;"|2",$X$44:$X$67,0))&lt;&gt;""," • "&amp;INDEX($Q$44:$Q$67,MATCH(TEXT(E10,"yyyymmdd")&amp;"|2",$X$44:$X$67,0)),"")&amp;IF(INDEX($N$44:$N$67,MATCH(TEXT(E10,"yyyymmdd")&amp;"|2",$X$44:$X$67,0))&lt;&gt;""," — "&amp;INDEX($N$44:$N$67,MATCH(TEXT(E10,"yyyymmdd")&amp;"|2",$X$44:$X$67,0)),"")&amp;IF(AND(INDEX($S$44:$S$67,MATCH(TEXT(E10,"yyyymmdd")&amp;"|2",$X$44:$X$67,0))&lt;&gt;"",INDEX($S$44:$S$67,MATCH(TEXT(E10,"yyyymmdd")&amp;"|2",$X$44:$X$67,0))&lt;&gt;"Planned")," • "&amp;INDEX($S$44:$S$67,MATCH(TEXT(E10,"yyyymmdd")&amp;"|2",$X$44:$X$67,0)),""),"")</x:f>
        <x:v>[Close] Prior-month data cutoff and close kickoff • 9:00 AM — Accounting</x:v>
      </x:c>
      <x:c r="F12" s="58"/>
      <x:c r="G12" s="59"/>
      <x:c r="H12" s="60" t="str">
        <x:f t="array" ref="H12">IFERROR("["&amp;INDEX($D$44:$D$67,MATCH(TEXT(H10,"yyyymmdd")&amp;"|2",$X$44:$X$67,0))&amp;"] "&amp;INDEX($G$44:$G$67,MATCH(TEXT(H10,"yyyymmdd")&amp;"|2",$X$44:$X$67,0))&amp;IF(INDEX($Q$44:$Q$67,MATCH(TEXT(H10,"yyyymmdd")&amp;"|2",$X$44:$X$67,0))&lt;&gt;""," • "&amp;INDEX($Q$44:$Q$67,MATCH(TEXT(H10,"yyyymmdd")&amp;"|2",$X$44:$X$67,0)),"")&amp;IF(INDEX($N$44:$N$67,MATCH(TEXT(H10,"yyyymmdd")&amp;"|2",$X$44:$X$67,0))&lt;&gt;""," — "&amp;INDEX($N$44:$N$67,MATCH(TEXT(H10,"yyyymmdd")&amp;"|2",$X$44:$X$67,0)),"")&amp;IF(AND(INDEX($S$44:$S$67,MATCH(TEXT(H10,"yyyymmdd")&amp;"|2",$X$44:$X$67,0))&lt;&gt;"",INDEX($S$44:$S$67,MATCH(TEXT(H10,"yyyymmdd")&amp;"|2",$X$44:$X$67,0))&lt;&gt;"Planned")," • "&amp;INDEX($S$44:$S$67,MATCH(TEXT(H10,"yyyymmdd")&amp;"|2",$X$44:$X$67,0)),""),"")</x:f>
        <x:v>[Accounting] Accruals and journal entries due • 3:00 PM — Accounting</x:v>
      </x:c>
      <x:c r="I12" s="58"/>
      <x:c r="J12" s="59"/>
      <x:c r="K12" s="60" t="str">
        <x:f t="array" ref="K12">IFERROR("["&amp;INDEX($D$44:$D$67,MATCH(TEXT(K10,"yyyymmdd")&amp;"|2",$X$44:$X$67,0))&amp;"] "&amp;INDEX($G$44:$G$67,MATCH(TEXT(K10,"yyyymmdd")&amp;"|2",$X$44:$X$67,0))&amp;IF(INDEX($Q$44:$Q$67,MATCH(TEXT(K10,"yyyymmdd")&amp;"|2",$X$44:$X$67,0))&lt;&gt;""," • "&amp;INDEX($Q$44:$Q$67,MATCH(TEXT(K10,"yyyymmdd")&amp;"|2",$X$44:$X$67,0)),"")&amp;IF(INDEX($N$44:$N$67,MATCH(TEXT(K10,"yyyymmdd")&amp;"|2",$X$44:$X$67,0))&lt;&gt;""," — "&amp;INDEX($N$44:$N$67,MATCH(TEXT(K10,"yyyymmdd")&amp;"|2",$X$44:$X$67,0)),"")&amp;IF(AND(INDEX($S$44:$S$67,MATCH(TEXT(K10,"yyyymmdd")&amp;"|2",$X$44:$X$67,0))&lt;&gt;"",INDEX($S$44:$S$67,MATCH(TEXT(K10,"yyyymmdd")&amp;"|2",$X$44:$X$67,0))&lt;&gt;"Planned")," • "&amp;INDEX($S$44:$S$67,MATCH(TEXT(K10,"yyyymmdd")&amp;"|2",$X$44:$X$67,0)),""),"")</x:f>
        <x:v>[Close] Preliminary books closed • 5:00 PM — Controller</x:v>
      </x:c>
      <x:c r="L12" s="58"/>
      <x:c r="M12" s="59"/>
      <x:c r="N12" s="60" t="str">
        <x:f t="array" ref="N12">IFERROR("["&amp;INDEX($D$44:$D$67,MATCH(TEXT(N10,"yyyymmdd")&amp;"|2",$X$44:$X$67,0))&amp;"] "&amp;INDEX($G$44:$G$67,MATCH(TEXT(N10,"yyyymmdd")&amp;"|2",$X$44:$X$67,0))&amp;IF(INDEX($Q$44:$Q$67,MATCH(TEXT(N10,"yyyymmdd")&amp;"|2",$X$44:$X$67,0))&lt;&gt;""," • "&amp;INDEX($Q$44:$Q$67,MATCH(TEXT(N10,"yyyymmdd")&amp;"|2",$X$44:$X$67,0)),"")&amp;IF(INDEX($N$44:$N$67,MATCH(TEXT(N10,"yyyymmdd")&amp;"|2",$X$44:$X$67,0))&lt;&gt;""," — "&amp;INDEX($N$44:$N$67,MATCH(TEXT(N10,"yyyymmdd")&amp;"|2",$X$44:$X$67,0)),"")&amp;IF(AND(INDEX($S$44:$S$67,MATCH(TEXT(N10,"yyyymmdd")&amp;"|2",$X$44:$X$67,0))&lt;&gt;"",INDEX($S$44:$S$67,MATCH(TEXT(N10,"yyyymmdd")&amp;"|2",$X$44:$X$67,0))&lt;&gt;"Planned")," • "&amp;INDEX($S$44:$S$67,MATCH(TEXT(N10,"yyyymmdd")&amp;"|2",$X$44:$X$67,0)),""),"")</x:f>
        <x:v>[Reporting] Flash results and first variance readout • 12:00 PM — FP&amp;A</x:v>
      </x:c>
      <x:c r="O12" s="58"/>
      <x:c r="P12" s="59"/>
      <x:c r="Q12" s="60" t="str">
        <x:f t="array" ref="Q12">IFERROR("["&amp;INDEX($D$44:$D$67,MATCH(TEXT(Q10,"yyyymmdd")&amp;"|2",$X$44:$X$67,0))&amp;"] "&amp;INDEX($G$44:$G$67,MATCH(TEXT(Q10,"yyyymmdd")&amp;"|2",$X$44:$X$67,0))&amp;IF(INDEX($Q$44:$Q$67,MATCH(TEXT(Q10,"yyyymmdd")&amp;"|2",$X$44:$X$67,0))&lt;&gt;""," • "&amp;INDEX($Q$44:$Q$67,MATCH(TEXT(Q10,"yyyymmdd")&amp;"|2",$X$44:$X$67,0)),"")&amp;IF(INDEX($N$44:$N$67,MATCH(TEXT(Q10,"yyyymmdd")&amp;"|2",$X$44:$X$67,0))&lt;&gt;""," — "&amp;INDEX($N$44:$N$67,MATCH(TEXT(Q10,"yyyymmdd")&amp;"|2",$X$44:$X$67,0)),"")&amp;IF(AND(INDEX($S$44:$S$67,MATCH(TEXT(Q10,"yyyymmdd")&amp;"|2",$X$44:$X$67,0))&lt;&gt;"",INDEX($S$44:$S$67,MATCH(TEXT(Q10,"yyyymmdd")&amp;"|2",$X$44:$X$67,0))&lt;&gt;"Planned")," • "&amp;INDEX($S$44:$S$67,MATCH(TEXT(Q10,"yyyymmdd")&amp;"|2",$X$44:$X$67,0)),""),"")</x:f>
        <x:v>[Review] Close and variance review • 2:00 PM — Finance Leadership</x:v>
      </x:c>
      <x:c r="R12" s="58"/>
      <x:c r="S12" s="59"/>
      <x:c r="T12" s="57" t="str">
        <x:f t="array" ref="T12">IFERROR("["&amp;INDEX($D$44:$D$67,MATCH(TEXT(T10,"yyyymmdd")&amp;"|2",$X$44:$X$67,0))&amp;"] "&amp;INDEX($G$44:$G$67,MATCH(TEXT(T10,"yyyymmdd")&amp;"|2",$X$44:$X$67,0))&amp;IF(INDEX($Q$44:$Q$67,MATCH(TEXT(T10,"yyyymmdd")&amp;"|2",$X$44:$X$67,0))&lt;&gt;""," • "&amp;INDEX($Q$44:$Q$67,MATCH(TEXT(T10,"yyyymmdd")&amp;"|2",$X$44:$X$67,0)),"")&amp;IF(INDEX($N$44:$N$67,MATCH(TEXT(T10,"yyyymmdd")&amp;"|2",$X$44:$X$67,0))&lt;&gt;""," — "&amp;INDEX($N$44:$N$67,MATCH(TEXT(T10,"yyyymmdd")&amp;"|2",$X$44:$X$67,0)),"")&amp;IF(AND(INDEX($S$44:$S$67,MATCH(TEXT(T10,"yyyymmdd")&amp;"|2",$X$44:$X$67,0))&lt;&gt;"",INDEX($S$44:$S$67,MATCH(TEXT(T10,"yyyymmdd")&amp;"|2",$X$44:$X$67,0))&lt;&gt;"Planned")," • "&amp;INDEX($S$44:$S$67,MATCH(TEXT(T10,"yyyymmdd")&amp;"|2",$X$44:$X$67,0)),""),"")</x:f>
      </x:c>
      <x:c r="U12" s="58"/>
      <x:c r="V12" s="59"/>
      <x:c r="W12" s="24"/>
      <x:c r="X12" s="24"/>
    </x:row>
    <x:row r="13" ht="16.5" customHeight="1">
      <x:c r="B13" s="57" t="str">
        <x:f t="array" ref="B13">IFERROR("["&amp;INDEX($D$44:$D$67,MATCH(TEXT(B10,"yyyymmdd")&amp;"|3",$X$44:$X$67,0))&amp;"] "&amp;INDEX($G$44:$G$67,MATCH(TEXT(B10,"yyyymmdd")&amp;"|3",$X$44:$X$67,0))&amp;IF(INDEX($Q$44:$Q$67,MATCH(TEXT(B10,"yyyymmdd")&amp;"|3",$X$44:$X$67,0))&lt;&gt;""," • "&amp;INDEX($Q$44:$Q$67,MATCH(TEXT(B10,"yyyymmdd")&amp;"|3",$X$44:$X$67,0)),"")&amp;IF(INDEX($N$44:$N$67,MATCH(TEXT(B10,"yyyymmdd")&amp;"|3",$X$44:$X$67,0))&lt;&gt;""," — "&amp;INDEX($N$44:$N$67,MATCH(TEXT(B10,"yyyymmdd")&amp;"|3",$X$44:$X$67,0)),"")&amp;IF(AND(INDEX($S$44:$S$67,MATCH(TEXT(B10,"yyyymmdd")&amp;"|3",$X$44:$X$67,0))&lt;&gt;"",INDEX($S$44:$S$67,MATCH(TEXT(B10,"yyyymmdd")&amp;"|3",$X$44:$X$67,0))&lt;&gt;"Planned")," • "&amp;INDEX($S$44:$S$67,MATCH(TEXT(B10,"yyyymmdd")&amp;"|3",$X$44:$X$67,0)),""),"")</x:f>
      </x:c>
      <x:c r="C13" s="58"/>
      <x:c r="D13" s="59"/>
      <x:c r="E13" s="60" t="str">
        <x:f t="array" ref="E13">IFERROR("["&amp;INDEX($D$44:$D$67,MATCH(TEXT(E10,"yyyymmdd")&amp;"|3",$X$44:$X$67,0))&amp;"] "&amp;INDEX($G$44:$G$67,MATCH(TEXT(E10,"yyyymmdd")&amp;"|3",$X$44:$X$67,0))&amp;IF(INDEX($Q$44:$Q$67,MATCH(TEXT(E10,"yyyymmdd")&amp;"|3",$X$44:$X$67,0))&lt;&gt;""," • "&amp;INDEX($Q$44:$Q$67,MATCH(TEXT(E10,"yyyymmdd")&amp;"|3",$X$44:$X$67,0)),"")&amp;IF(INDEX($N$44:$N$67,MATCH(TEXT(E10,"yyyymmdd")&amp;"|3",$X$44:$X$67,0))&lt;&gt;""," — "&amp;INDEX($N$44:$N$67,MATCH(TEXT(E10,"yyyymmdd")&amp;"|3",$X$44:$X$67,0)),"")&amp;IF(AND(INDEX($S$44:$S$67,MATCH(TEXT(E10,"yyyymmdd")&amp;"|3",$X$44:$X$67,0))&lt;&gt;"",INDEX($S$44:$S$67,MATCH(TEXT(E10,"yyyymmdd")&amp;"|3",$X$44:$X$67,0))&lt;&gt;"Planned")," • "&amp;INDEX($S$44:$S$67,MATCH(TEXT(E10,"yyyymmdd")&amp;"|3",$X$44:$X$67,0)),""),"")</x:f>
        <x:v>[Close] Prior-month data cutoff and close kickoff • 9:00 AM — Accounting</x:v>
      </x:c>
      <x:c r="F13" s="58"/>
      <x:c r="G13" s="59"/>
      <x:c r="H13" s="60" t="str">
        <x:f t="array" ref="H13">IFERROR("["&amp;INDEX($D$44:$D$67,MATCH(TEXT(H10,"yyyymmdd")&amp;"|3",$X$44:$X$67,0))&amp;"] "&amp;INDEX($G$44:$G$67,MATCH(TEXT(H10,"yyyymmdd")&amp;"|3",$X$44:$X$67,0))&amp;IF(INDEX($Q$44:$Q$67,MATCH(TEXT(H10,"yyyymmdd")&amp;"|3",$X$44:$X$67,0))&lt;&gt;""," • "&amp;INDEX($Q$44:$Q$67,MATCH(TEXT(H10,"yyyymmdd")&amp;"|3",$X$44:$X$67,0)),"")&amp;IF(INDEX($N$44:$N$67,MATCH(TEXT(H10,"yyyymmdd")&amp;"|3",$X$44:$X$67,0))&lt;&gt;""," — "&amp;INDEX($N$44:$N$67,MATCH(TEXT(H10,"yyyymmdd")&amp;"|3",$X$44:$X$67,0)),"")&amp;IF(AND(INDEX($S$44:$S$67,MATCH(TEXT(H10,"yyyymmdd")&amp;"|3",$X$44:$X$67,0))&lt;&gt;"",INDEX($S$44:$S$67,MATCH(TEXT(H10,"yyyymmdd")&amp;"|3",$X$44:$X$67,0))&lt;&gt;"Planned")," • "&amp;INDEX($S$44:$S$67,MATCH(TEXT(H10,"yyyymmdd")&amp;"|3",$X$44:$X$67,0)),""),"")</x:f>
        <x:v>[Accounting] Accruals and journal entries due • 3:00 PM — Accounting</x:v>
      </x:c>
      <x:c r="I13" s="58"/>
      <x:c r="J13" s="59"/>
      <x:c r="K13" s="60" t="str">
        <x:f t="array" ref="K13">IFERROR("["&amp;INDEX($D$44:$D$67,MATCH(TEXT(K10,"yyyymmdd")&amp;"|3",$X$44:$X$67,0))&amp;"] "&amp;INDEX($G$44:$G$67,MATCH(TEXT(K10,"yyyymmdd")&amp;"|3",$X$44:$X$67,0))&amp;IF(INDEX($Q$44:$Q$67,MATCH(TEXT(K10,"yyyymmdd")&amp;"|3",$X$44:$X$67,0))&lt;&gt;""," • "&amp;INDEX($Q$44:$Q$67,MATCH(TEXT(K10,"yyyymmdd")&amp;"|3",$X$44:$X$67,0)),"")&amp;IF(INDEX($N$44:$N$67,MATCH(TEXT(K10,"yyyymmdd")&amp;"|3",$X$44:$X$67,0))&lt;&gt;""," — "&amp;INDEX($N$44:$N$67,MATCH(TEXT(K10,"yyyymmdd")&amp;"|3",$X$44:$X$67,0)),"")&amp;IF(AND(INDEX($S$44:$S$67,MATCH(TEXT(K10,"yyyymmdd")&amp;"|3",$X$44:$X$67,0))&lt;&gt;"",INDEX($S$44:$S$67,MATCH(TEXT(K10,"yyyymmdd")&amp;"|3",$X$44:$X$67,0))&lt;&gt;"Planned")," • "&amp;INDEX($S$44:$S$67,MATCH(TEXT(K10,"yyyymmdd")&amp;"|3",$X$44:$X$67,0)),""),"")</x:f>
        <x:v>[Close] Preliminary books closed • 5:00 PM — Controller</x:v>
      </x:c>
      <x:c r="L13" s="58"/>
      <x:c r="M13" s="59"/>
      <x:c r="N13" s="60" t="str">
        <x:f t="array" ref="N13">IFERROR("["&amp;INDEX($D$44:$D$67,MATCH(TEXT(N10,"yyyymmdd")&amp;"|3",$X$44:$X$67,0))&amp;"] "&amp;INDEX($G$44:$G$67,MATCH(TEXT(N10,"yyyymmdd")&amp;"|3",$X$44:$X$67,0))&amp;IF(INDEX($Q$44:$Q$67,MATCH(TEXT(N10,"yyyymmdd")&amp;"|3",$X$44:$X$67,0))&lt;&gt;""," • "&amp;INDEX($Q$44:$Q$67,MATCH(TEXT(N10,"yyyymmdd")&amp;"|3",$X$44:$X$67,0)),"")&amp;IF(INDEX($N$44:$N$67,MATCH(TEXT(N10,"yyyymmdd")&amp;"|3",$X$44:$X$67,0))&lt;&gt;""," — "&amp;INDEX($N$44:$N$67,MATCH(TEXT(N10,"yyyymmdd")&amp;"|3",$X$44:$X$67,0)),"")&amp;IF(AND(INDEX($S$44:$S$67,MATCH(TEXT(N10,"yyyymmdd")&amp;"|3",$X$44:$X$67,0))&lt;&gt;"",INDEX($S$44:$S$67,MATCH(TEXT(N10,"yyyymmdd")&amp;"|3",$X$44:$X$67,0))&lt;&gt;"Planned")," • "&amp;INDEX($S$44:$S$67,MATCH(TEXT(N10,"yyyymmdd")&amp;"|3",$X$44:$X$67,0)),""),"")</x:f>
        <x:v>[Reporting] Flash results and first variance readout • 12:00 PM — FP&amp;A</x:v>
      </x:c>
      <x:c r="O13" s="58"/>
      <x:c r="P13" s="59"/>
      <x:c r="Q13" s="60" t="str">
        <x:f t="array" ref="Q13">IFERROR("["&amp;INDEX($D$44:$D$67,MATCH(TEXT(Q10,"yyyymmdd")&amp;"|3",$X$44:$X$67,0))&amp;"] "&amp;INDEX($G$44:$G$67,MATCH(TEXT(Q10,"yyyymmdd")&amp;"|3",$X$44:$X$67,0))&amp;IF(INDEX($Q$44:$Q$67,MATCH(TEXT(Q10,"yyyymmdd")&amp;"|3",$X$44:$X$67,0))&lt;&gt;""," • "&amp;INDEX($Q$44:$Q$67,MATCH(TEXT(Q10,"yyyymmdd")&amp;"|3",$X$44:$X$67,0)),"")&amp;IF(INDEX($N$44:$N$67,MATCH(TEXT(Q10,"yyyymmdd")&amp;"|3",$X$44:$X$67,0))&lt;&gt;""," — "&amp;INDEX($N$44:$N$67,MATCH(TEXT(Q10,"yyyymmdd")&amp;"|3",$X$44:$X$67,0)),"")&amp;IF(AND(INDEX($S$44:$S$67,MATCH(TEXT(Q10,"yyyymmdd")&amp;"|3",$X$44:$X$67,0))&lt;&gt;"",INDEX($S$44:$S$67,MATCH(TEXT(Q10,"yyyymmdd")&amp;"|3",$X$44:$X$67,0))&lt;&gt;"Planned")," • "&amp;INDEX($S$44:$S$67,MATCH(TEXT(Q10,"yyyymmdd")&amp;"|3",$X$44:$X$67,0)),""),"")</x:f>
        <x:v>[Review] Close and variance review • 2:00 PM — Finance Leadership</x:v>
      </x:c>
      <x:c r="R13" s="58"/>
      <x:c r="S13" s="59"/>
      <x:c r="T13" s="57" t="str">
        <x:f t="array" ref="T13">IFERROR("["&amp;INDEX($D$44:$D$67,MATCH(TEXT(T10,"yyyymmdd")&amp;"|3",$X$44:$X$67,0))&amp;"] "&amp;INDEX($G$44:$G$67,MATCH(TEXT(T10,"yyyymmdd")&amp;"|3",$X$44:$X$67,0))&amp;IF(INDEX($Q$44:$Q$67,MATCH(TEXT(T10,"yyyymmdd")&amp;"|3",$X$44:$X$67,0))&lt;&gt;""," • "&amp;INDEX($Q$44:$Q$67,MATCH(TEXT(T10,"yyyymmdd")&amp;"|3",$X$44:$X$67,0)),"")&amp;IF(INDEX($N$44:$N$67,MATCH(TEXT(T10,"yyyymmdd")&amp;"|3",$X$44:$X$67,0))&lt;&gt;""," — "&amp;INDEX($N$44:$N$67,MATCH(TEXT(T10,"yyyymmdd")&amp;"|3",$X$44:$X$67,0)),"")&amp;IF(AND(INDEX($S$44:$S$67,MATCH(TEXT(T10,"yyyymmdd")&amp;"|3",$X$44:$X$67,0))&lt;&gt;"",INDEX($S$44:$S$67,MATCH(TEXT(T10,"yyyymmdd")&amp;"|3",$X$44:$X$67,0))&lt;&gt;"Planned")," • "&amp;INDEX($S$44:$S$67,MATCH(TEXT(T10,"yyyymmdd")&amp;"|3",$X$44:$X$67,0)),""),"")</x:f>
      </x:c>
      <x:c r="U13" s="58"/>
      <x:c r="V13" s="59"/>
      <x:c r="W13" s="24"/>
      <x:c r="X13" s="24"/>
    </x:row>
    <x:row r="14" ht="16.5" customHeight="1">
      <x:c r="B14" s="57" t="str">
        <x:f t="array" ref="B14">IFERROR("["&amp;INDEX($D$44:$D$67,MATCH(TEXT(B10,"yyyymmdd")&amp;"|4",$X$44:$X$67,0))&amp;"] "&amp;INDEX($G$44:$G$67,MATCH(TEXT(B10,"yyyymmdd")&amp;"|4",$X$44:$X$67,0))&amp;IF(INDEX($Q$44:$Q$67,MATCH(TEXT(B10,"yyyymmdd")&amp;"|4",$X$44:$X$67,0))&lt;&gt;""," • "&amp;INDEX($Q$44:$Q$67,MATCH(TEXT(B10,"yyyymmdd")&amp;"|4",$X$44:$X$67,0)),"")&amp;IF(INDEX($N$44:$N$67,MATCH(TEXT(B10,"yyyymmdd")&amp;"|4",$X$44:$X$67,0))&lt;&gt;""," — "&amp;INDEX($N$44:$N$67,MATCH(TEXT(B10,"yyyymmdd")&amp;"|4",$X$44:$X$67,0)),"")&amp;IF(AND(INDEX($S$44:$S$67,MATCH(TEXT(B10,"yyyymmdd")&amp;"|4",$X$44:$X$67,0))&lt;&gt;"",INDEX($S$44:$S$67,MATCH(TEXT(B10,"yyyymmdd")&amp;"|4",$X$44:$X$67,0))&lt;&gt;"Planned")," • "&amp;INDEX($S$44:$S$67,MATCH(TEXT(B10,"yyyymmdd")&amp;"|4",$X$44:$X$67,0)),""),"")</x:f>
      </x:c>
      <x:c r="C14" s="58"/>
      <x:c r="D14" s="59"/>
      <x:c r="E14" s="60" t="str">
        <x:f t="array" ref="E14">IFERROR("["&amp;INDEX($D$44:$D$67,MATCH(TEXT(E10,"yyyymmdd")&amp;"|4",$X$44:$X$67,0))&amp;"] "&amp;INDEX($G$44:$G$67,MATCH(TEXT(E10,"yyyymmdd")&amp;"|4",$X$44:$X$67,0))&amp;IF(INDEX($Q$44:$Q$67,MATCH(TEXT(E10,"yyyymmdd")&amp;"|4",$X$44:$X$67,0))&lt;&gt;""," • "&amp;INDEX($Q$44:$Q$67,MATCH(TEXT(E10,"yyyymmdd")&amp;"|4",$X$44:$X$67,0)),"")&amp;IF(INDEX($N$44:$N$67,MATCH(TEXT(E10,"yyyymmdd")&amp;"|4",$X$44:$X$67,0))&lt;&gt;""," — "&amp;INDEX($N$44:$N$67,MATCH(TEXT(E10,"yyyymmdd")&amp;"|4",$X$44:$X$67,0)),"")&amp;IF(AND(INDEX($S$44:$S$67,MATCH(TEXT(E10,"yyyymmdd")&amp;"|4",$X$44:$X$67,0))&lt;&gt;"",INDEX($S$44:$S$67,MATCH(TEXT(E10,"yyyymmdd")&amp;"|4",$X$44:$X$67,0))&lt;&gt;"Planned")," • "&amp;INDEX($S$44:$S$67,MATCH(TEXT(E10,"yyyymmdd")&amp;"|4",$X$44:$X$67,0)),""),"")</x:f>
        <x:v>[Close] Prior-month data cutoff and close kickoff • 9:00 AM — Accounting</x:v>
      </x:c>
      <x:c r="F14" s="58"/>
      <x:c r="G14" s="59"/>
      <x:c r="H14" s="60" t="str">
        <x:f t="array" ref="H14">IFERROR("["&amp;INDEX($D$44:$D$67,MATCH(TEXT(H10,"yyyymmdd")&amp;"|4",$X$44:$X$67,0))&amp;"] "&amp;INDEX($G$44:$G$67,MATCH(TEXT(H10,"yyyymmdd")&amp;"|4",$X$44:$X$67,0))&amp;IF(INDEX($Q$44:$Q$67,MATCH(TEXT(H10,"yyyymmdd")&amp;"|4",$X$44:$X$67,0))&lt;&gt;""," • "&amp;INDEX($Q$44:$Q$67,MATCH(TEXT(H10,"yyyymmdd")&amp;"|4",$X$44:$X$67,0)),"")&amp;IF(INDEX($N$44:$N$67,MATCH(TEXT(H10,"yyyymmdd")&amp;"|4",$X$44:$X$67,0))&lt;&gt;""," — "&amp;INDEX($N$44:$N$67,MATCH(TEXT(H10,"yyyymmdd")&amp;"|4",$X$44:$X$67,0)),"")&amp;IF(AND(INDEX($S$44:$S$67,MATCH(TEXT(H10,"yyyymmdd")&amp;"|4",$X$44:$X$67,0))&lt;&gt;"",INDEX($S$44:$S$67,MATCH(TEXT(H10,"yyyymmdd")&amp;"|4",$X$44:$X$67,0))&lt;&gt;"Planned")," • "&amp;INDEX($S$44:$S$67,MATCH(TEXT(H10,"yyyymmdd")&amp;"|4",$X$44:$X$67,0)),""),"")</x:f>
        <x:v>[Accounting] Accruals and journal entries due • 3:00 PM — Accounting</x:v>
      </x:c>
      <x:c r="I14" s="58"/>
      <x:c r="J14" s="59"/>
      <x:c r="K14" s="60" t="str">
        <x:f t="array" ref="K14">IFERROR("["&amp;INDEX($D$44:$D$67,MATCH(TEXT(K10,"yyyymmdd")&amp;"|4",$X$44:$X$67,0))&amp;"] "&amp;INDEX($G$44:$G$67,MATCH(TEXT(K10,"yyyymmdd")&amp;"|4",$X$44:$X$67,0))&amp;IF(INDEX($Q$44:$Q$67,MATCH(TEXT(K10,"yyyymmdd")&amp;"|4",$X$44:$X$67,0))&lt;&gt;""," • "&amp;INDEX($Q$44:$Q$67,MATCH(TEXT(K10,"yyyymmdd")&amp;"|4",$X$44:$X$67,0)),"")&amp;IF(INDEX($N$44:$N$67,MATCH(TEXT(K10,"yyyymmdd")&amp;"|4",$X$44:$X$67,0))&lt;&gt;""," — "&amp;INDEX($N$44:$N$67,MATCH(TEXT(K10,"yyyymmdd")&amp;"|4",$X$44:$X$67,0)),"")&amp;IF(AND(INDEX($S$44:$S$67,MATCH(TEXT(K10,"yyyymmdd")&amp;"|4",$X$44:$X$67,0))&lt;&gt;"",INDEX($S$44:$S$67,MATCH(TEXT(K10,"yyyymmdd")&amp;"|4",$X$44:$X$67,0))&lt;&gt;"Planned")," • "&amp;INDEX($S$44:$S$67,MATCH(TEXT(K10,"yyyymmdd")&amp;"|4",$X$44:$X$67,0)),""),"")</x:f>
        <x:v>[Close] Preliminary books closed • 5:00 PM — Controller</x:v>
      </x:c>
      <x:c r="L14" s="58"/>
      <x:c r="M14" s="59"/>
      <x:c r="N14" s="60" t="str">
        <x:f t="array" ref="N14">IFERROR("["&amp;INDEX($D$44:$D$67,MATCH(TEXT(N10,"yyyymmdd")&amp;"|4",$X$44:$X$67,0))&amp;"] "&amp;INDEX($G$44:$G$67,MATCH(TEXT(N10,"yyyymmdd")&amp;"|4",$X$44:$X$67,0))&amp;IF(INDEX($Q$44:$Q$67,MATCH(TEXT(N10,"yyyymmdd")&amp;"|4",$X$44:$X$67,0))&lt;&gt;""," • "&amp;INDEX($Q$44:$Q$67,MATCH(TEXT(N10,"yyyymmdd")&amp;"|4",$X$44:$X$67,0)),"")&amp;IF(INDEX($N$44:$N$67,MATCH(TEXT(N10,"yyyymmdd")&amp;"|4",$X$44:$X$67,0))&lt;&gt;""," — "&amp;INDEX($N$44:$N$67,MATCH(TEXT(N10,"yyyymmdd")&amp;"|4",$X$44:$X$67,0)),"")&amp;IF(AND(INDEX($S$44:$S$67,MATCH(TEXT(N10,"yyyymmdd")&amp;"|4",$X$44:$X$67,0))&lt;&gt;"",INDEX($S$44:$S$67,MATCH(TEXT(N10,"yyyymmdd")&amp;"|4",$X$44:$X$67,0))&lt;&gt;"Planned")," • "&amp;INDEX($S$44:$S$67,MATCH(TEXT(N10,"yyyymmdd")&amp;"|4",$X$44:$X$67,0)),""),"")</x:f>
        <x:v>[Reporting] Flash results and first variance readout • 12:00 PM — FP&amp;A</x:v>
      </x:c>
      <x:c r="O14" s="58"/>
      <x:c r="P14" s="59"/>
      <x:c r="Q14" s="60" t="str">
        <x:f t="array" ref="Q14">IFERROR("["&amp;INDEX($D$44:$D$67,MATCH(TEXT(Q10,"yyyymmdd")&amp;"|4",$X$44:$X$67,0))&amp;"] "&amp;INDEX($G$44:$G$67,MATCH(TEXT(Q10,"yyyymmdd")&amp;"|4",$X$44:$X$67,0))&amp;IF(INDEX($Q$44:$Q$67,MATCH(TEXT(Q10,"yyyymmdd")&amp;"|4",$X$44:$X$67,0))&lt;&gt;""," • "&amp;INDEX($Q$44:$Q$67,MATCH(TEXT(Q10,"yyyymmdd")&amp;"|4",$X$44:$X$67,0)),"")&amp;IF(INDEX($N$44:$N$67,MATCH(TEXT(Q10,"yyyymmdd")&amp;"|4",$X$44:$X$67,0))&lt;&gt;""," — "&amp;INDEX($N$44:$N$67,MATCH(TEXT(Q10,"yyyymmdd")&amp;"|4",$X$44:$X$67,0)),"")&amp;IF(AND(INDEX($S$44:$S$67,MATCH(TEXT(Q10,"yyyymmdd")&amp;"|4",$X$44:$X$67,0))&lt;&gt;"",INDEX($S$44:$S$67,MATCH(TEXT(Q10,"yyyymmdd")&amp;"|4",$X$44:$X$67,0))&lt;&gt;"Planned")," • "&amp;INDEX($S$44:$S$67,MATCH(TEXT(Q10,"yyyymmdd")&amp;"|4",$X$44:$X$67,0)),""),"")</x:f>
        <x:v>[Review] Close and variance review • 2:00 PM — Finance Leadership</x:v>
      </x:c>
      <x:c r="R14" s="58"/>
      <x:c r="S14" s="59"/>
      <x:c r="T14" s="57" t="str">
        <x:f t="array" ref="T14">IFERROR("["&amp;INDEX($D$44:$D$67,MATCH(TEXT(T10,"yyyymmdd")&amp;"|4",$X$44:$X$67,0))&amp;"] "&amp;INDEX($G$44:$G$67,MATCH(TEXT(T10,"yyyymmdd")&amp;"|4",$X$44:$X$67,0))&amp;IF(INDEX($Q$44:$Q$67,MATCH(TEXT(T10,"yyyymmdd")&amp;"|4",$X$44:$X$67,0))&lt;&gt;""," • "&amp;INDEX($Q$44:$Q$67,MATCH(TEXT(T10,"yyyymmdd")&amp;"|4",$X$44:$X$67,0)),"")&amp;IF(INDEX($N$44:$N$67,MATCH(TEXT(T10,"yyyymmdd")&amp;"|4",$X$44:$X$67,0))&lt;&gt;""," — "&amp;INDEX($N$44:$N$67,MATCH(TEXT(T10,"yyyymmdd")&amp;"|4",$X$44:$X$67,0)),"")&amp;IF(AND(INDEX($S$44:$S$67,MATCH(TEXT(T10,"yyyymmdd")&amp;"|4",$X$44:$X$67,0))&lt;&gt;"",INDEX($S$44:$S$67,MATCH(TEXT(T10,"yyyymmdd")&amp;"|4",$X$44:$X$67,0))&lt;&gt;"Planned")," • "&amp;INDEX($S$44:$S$67,MATCH(TEXT(T10,"yyyymmdd")&amp;"|4",$X$44:$X$67,0)),""),"")</x:f>
      </x:c>
      <x:c r="U14" s="58"/>
      <x:c r="V14" s="59"/>
      <x:c r="W14" s="24"/>
      <x:c r="X14" s="24"/>
    </x:row>
    <x:row r="15" ht="12.75" customHeight="1">
      <x:c r="B15" s="66" t="n">
        <x:f>DATE($T$3,$X$2,1)-WEEKDAY(DATE($T$3,$X$2,1),1)+1+7</x:f>
        <x:v>46180</x:v>
      </x:c>
      <x:c r="C15" s="58"/>
      <x:c r="D15" s="59"/>
      <x:c r="E15" s="67" t="n">
        <x:f>DATE($T$3,$X$2,1)-WEEKDAY(DATE($T$3,$X$2,1),1)+1+8</x:f>
        <x:v>46181</x:v>
      </x:c>
      <x:c r="F15" s="58"/>
      <x:c r="G15" s="59"/>
      <x:c r="H15" s="67" t="n">
        <x:f>DATE($T$3,$X$2,1)-WEEKDAY(DATE($T$3,$X$2,1),1)+1+9</x:f>
        <x:v>46182</x:v>
      </x:c>
      <x:c r="I15" s="58"/>
      <x:c r="J15" s="59"/>
      <x:c r="K15" s="67" t="n">
        <x:f>DATE($T$3,$X$2,1)-WEEKDAY(DATE($T$3,$X$2,1),1)+1+10</x:f>
        <x:v>46183</x:v>
      </x:c>
      <x:c r="L15" s="58"/>
      <x:c r="M15" s="59"/>
      <x:c r="N15" s="67" t="n">
        <x:f>DATE($T$3,$X$2,1)-WEEKDAY(DATE($T$3,$X$2,1),1)+1+11</x:f>
        <x:v>46184</x:v>
      </x:c>
      <x:c r="O15" s="58"/>
      <x:c r="P15" s="59"/>
      <x:c r="Q15" s="67" t="n">
        <x:f>DATE($T$3,$X$2,1)-WEEKDAY(DATE($T$3,$X$2,1),1)+1+12</x:f>
        <x:v>46185</x:v>
      </x:c>
      <x:c r="R15" s="58"/>
      <x:c r="S15" s="59"/>
      <x:c r="T15" s="66" t="n">
        <x:f>DATE($T$3,$X$2,1)-WEEKDAY(DATE($T$3,$X$2,1),1)+1+13</x:f>
        <x:v>46186</x:v>
      </x:c>
      <x:c r="U15" s="58"/>
      <x:c r="V15" s="59"/>
      <x:c r="W15" s="24"/>
      <x:c r="X15" s="24"/>
    </x:row>
    <x:row r="16" ht="16.5" customHeight="1">
      <x:c r="B16" s="57" t="str">
        <x:f t="array" ref="B16">IFERROR("["&amp;INDEX($D$44:$D$67,MATCH(TEXT(B15,"yyyymmdd")&amp;"|1",$X$44:$X$67,0))&amp;"] "&amp;INDEX($G$44:$G$67,MATCH(TEXT(B15,"yyyymmdd")&amp;"|1",$X$44:$X$67,0))&amp;IF(INDEX($Q$44:$Q$67,MATCH(TEXT(B15,"yyyymmdd")&amp;"|1",$X$44:$X$67,0))&lt;&gt;""," • "&amp;INDEX($Q$44:$Q$67,MATCH(TEXT(B15,"yyyymmdd")&amp;"|1",$X$44:$X$67,0)),"")&amp;IF(INDEX($N$44:$N$67,MATCH(TEXT(B15,"yyyymmdd")&amp;"|1",$X$44:$X$67,0))&lt;&gt;""," — "&amp;INDEX($N$44:$N$67,MATCH(TEXT(B15,"yyyymmdd")&amp;"|1",$X$44:$X$67,0)),"")&amp;IF(AND(INDEX($S$44:$S$67,MATCH(TEXT(B15,"yyyymmdd")&amp;"|1",$X$44:$X$67,0))&lt;&gt;"",INDEX($S$44:$S$67,MATCH(TEXT(B15,"yyyymmdd")&amp;"|1",$X$44:$X$67,0))&lt;&gt;"Planned")," • "&amp;INDEX($S$44:$S$67,MATCH(TEXT(B15,"yyyymmdd")&amp;"|1",$X$44:$X$67,0)),""),"")</x:f>
        <x:v>[Close] Prior-month data cutoff and close kickoff • 9:00 AM — Accounting</x:v>
      </x:c>
      <x:c r="C16" s="58"/>
      <x:c r="D16" s="59"/>
      <x:c r="E16" s="60" t="str">
        <x:f t="array" ref="E16">IFERROR("["&amp;INDEX($D$44:$D$67,MATCH(TEXT(E15,"yyyymmdd")&amp;"|1",$X$44:$X$67,0))&amp;"] "&amp;INDEX($G$44:$G$67,MATCH(TEXT(E15,"yyyymmdd")&amp;"|1",$X$44:$X$67,0))&amp;IF(INDEX($Q$44:$Q$67,MATCH(TEXT(E15,"yyyymmdd")&amp;"|1",$X$44:$X$67,0))&lt;&gt;""," • "&amp;INDEX($Q$44:$Q$67,MATCH(TEXT(E15,"yyyymmdd")&amp;"|1",$X$44:$X$67,0)),"")&amp;IF(INDEX($N$44:$N$67,MATCH(TEXT(E15,"yyyymmdd")&amp;"|1",$X$44:$X$67,0))&lt;&gt;""," — "&amp;INDEX($N$44:$N$67,MATCH(TEXT(E15,"yyyymmdd")&amp;"|1",$X$44:$X$67,0)),"")&amp;IF(AND(INDEX($S$44:$S$67,MATCH(TEXT(E15,"yyyymmdd")&amp;"|1",$X$44:$X$67,0))&lt;&gt;"",INDEX($S$44:$S$67,MATCH(TEXT(E15,"yyyymmdd")&amp;"|1",$X$44:$X$67,0))&lt;&gt;"Planned")," • "&amp;INDEX($S$44:$S$67,MATCH(TEXT(E15,"yyyymmdd")&amp;"|1",$X$44:$X$67,0)),""),"")</x:f>
        <x:v>[Close] Prior-month data cutoff and close kickoff • 9:00 AM — Accounting</x:v>
      </x:c>
      <x:c r="F16" s="58"/>
      <x:c r="G16" s="59"/>
      <x:c r="H16" s="60" t="str">
        <x:f t="array" ref="H16">IFERROR("["&amp;INDEX($D$44:$D$67,MATCH(TEXT(H15,"yyyymmdd")&amp;"|1",$X$44:$X$67,0))&amp;"] "&amp;INDEX($G$44:$G$67,MATCH(TEXT(H15,"yyyymmdd")&amp;"|1",$X$44:$X$67,0))&amp;IF(INDEX($Q$44:$Q$67,MATCH(TEXT(H15,"yyyymmdd")&amp;"|1",$X$44:$X$67,0))&lt;&gt;""," • "&amp;INDEX($Q$44:$Q$67,MATCH(TEXT(H15,"yyyymmdd")&amp;"|1",$X$44:$X$67,0)),"")&amp;IF(INDEX($N$44:$N$67,MATCH(TEXT(H15,"yyyymmdd")&amp;"|1",$X$44:$X$67,0))&lt;&gt;""," — "&amp;INDEX($N$44:$N$67,MATCH(TEXT(H15,"yyyymmdd")&amp;"|1",$X$44:$X$67,0)),"")&amp;IF(AND(INDEX($S$44:$S$67,MATCH(TEXT(H15,"yyyymmdd")&amp;"|1",$X$44:$X$67,0))&lt;&gt;"",INDEX($S$44:$S$67,MATCH(TEXT(H15,"yyyymmdd")&amp;"|1",$X$44:$X$67,0))&lt;&gt;"Planned")," • "&amp;INDEX($S$44:$S$67,MATCH(TEXT(H15,"yyyymmdd")&amp;"|1",$X$44:$X$67,0)),""),"")</x:f>
        <x:v>[Close] Prior-month data cutoff and close kickoff • 9:00 AM — Accounting</x:v>
      </x:c>
      <x:c r="I16" s="58"/>
      <x:c r="J16" s="59"/>
      <x:c r="K16" s="60" t="str">
        <x:f t="array" ref="K16">IFERROR("["&amp;INDEX($D$44:$D$67,MATCH(TEXT(K15,"yyyymmdd")&amp;"|1",$X$44:$X$67,0))&amp;"] "&amp;INDEX($G$44:$G$67,MATCH(TEXT(K15,"yyyymmdd")&amp;"|1",$X$44:$X$67,0))&amp;IF(INDEX($Q$44:$Q$67,MATCH(TEXT(K15,"yyyymmdd")&amp;"|1",$X$44:$X$67,0))&lt;&gt;""," • "&amp;INDEX($Q$44:$Q$67,MATCH(TEXT(K15,"yyyymmdd")&amp;"|1",$X$44:$X$67,0)),"")&amp;IF(INDEX($N$44:$N$67,MATCH(TEXT(K15,"yyyymmdd")&amp;"|1",$X$44:$X$67,0))&lt;&gt;""," — "&amp;INDEX($N$44:$N$67,MATCH(TEXT(K15,"yyyymmdd")&amp;"|1",$X$44:$X$67,0)),"")&amp;IF(AND(INDEX($S$44:$S$67,MATCH(TEXT(K15,"yyyymmdd")&amp;"|1",$X$44:$X$67,0))&lt;&gt;"",INDEX($S$44:$S$67,MATCH(TEXT(K15,"yyyymmdd")&amp;"|1",$X$44:$X$67,0))&lt;&gt;"Planned")," • "&amp;INDEX($S$44:$S$67,MATCH(TEXT(K15,"yyyymmdd")&amp;"|1",$X$44:$X$67,0)),""),"")</x:f>
        <x:v>[Close] Prior-month data cutoff and close kickoff • 9:00 AM — Accounting</x:v>
      </x:c>
      <x:c r="L16" s="58"/>
      <x:c r="M16" s="59"/>
      <x:c r="N16" s="60" t="str">
        <x:f t="array" ref="N16">IFERROR("["&amp;INDEX($D$44:$D$67,MATCH(TEXT(N15,"yyyymmdd")&amp;"|1",$X$44:$X$67,0))&amp;"] "&amp;INDEX($G$44:$G$67,MATCH(TEXT(N15,"yyyymmdd")&amp;"|1",$X$44:$X$67,0))&amp;IF(INDEX($Q$44:$Q$67,MATCH(TEXT(N15,"yyyymmdd")&amp;"|1",$X$44:$X$67,0))&lt;&gt;""," • "&amp;INDEX($Q$44:$Q$67,MATCH(TEXT(N15,"yyyymmdd")&amp;"|1",$X$44:$X$67,0)),"")&amp;IF(INDEX($N$44:$N$67,MATCH(TEXT(N15,"yyyymmdd")&amp;"|1",$X$44:$X$67,0))&lt;&gt;""," — "&amp;INDEX($N$44:$N$67,MATCH(TEXT(N15,"yyyymmdd")&amp;"|1",$X$44:$X$67,0)),"")&amp;IF(AND(INDEX($S$44:$S$67,MATCH(TEXT(N15,"yyyymmdd")&amp;"|1",$X$44:$X$67,0))&lt;&gt;"",INDEX($S$44:$S$67,MATCH(TEXT(N15,"yyyymmdd")&amp;"|1",$X$44:$X$67,0))&lt;&gt;"Planned")," • "&amp;INDEX($S$44:$S$67,MATCH(TEXT(N15,"yyyymmdd")&amp;"|1",$X$44:$X$67,0)),""),"")</x:f>
        <x:v>[Close] Prior-month data cutoff and close kickoff • 9:00 AM — Accounting</x:v>
      </x:c>
      <x:c r="O16" s="58"/>
      <x:c r="P16" s="59"/>
      <x:c r="Q16" s="60" t="str">
        <x:f t="array" ref="Q16">IFERROR("["&amp;INDEX($D$44:$D$67,MATCH(TEXT(Q15,"yyyymmdd")&amp;"|1",$X$44:$X$67,0))&amp;"] "&amp;INDEX($G$44:$G$67,MATCH(TEXT(Q15,"yyyymmdd")&amp;"|1",$X$44:$X$67,0))&amp;IF(INDEX($Q$44:$Q$67,MATCH(TEXT(Q15,"yyyymmdd")&amp;"|1",$X$44:$X$67,0))&lt;&gt;""," • "&amp;INDEX($Q$44:$Q$67,MATCH(TEXT(Q15,"yyyymmdd")&amp;"|1",$X$44:$X$67,0)),"")&amp;IF(INDEX($N$44:$N$67,MATCH(TEXT(Q15,"yyyymmdd")&amp;"|1",$X$44:$X$67,0))&lt;&gt;""," — "&amp;INDEX($N$44:$N$67,MATCH(TEXT(Q15,"yyyymmdd")&amp;"|1",$X$44:$X$67,0)),"")&amp;IF(AND(INDEX($S$44:$S$67,MATCH(TEXT(Q15,"yyyymmdd")&amp;"|1",$X$44:$X$67,0))&lt;&gt;"",INDEX($S$44:$S$67,MATCH(TEXT(Q15,"yyyymmdd")&amp;"|1",$X$44:$X$67,0))&lt;&gt;"Planned")," • "&amp;INDEX($S$44:$S$67,MATCH(TEXT(Q15,"yyyymmdd")&amp;"|1",$X$44:$X$67,0)),""),"")</x:f>
        <x:v>[Close] Prior-month data cutoff and close kickoff • 9:00 AM — Accounting</x:v>
      </x:c>
      <x:c r="R16" s="58"/>
      <x:c r="S16" s="59"/>
      <x:c r="T16" s="57" t="str">
        <x:f t="array" ref="T16">IFERROR("["&amp;INDEX($D$44:$D$67,MATCH(TEXT(T15,"yyyymmdd")&amp;"|1",$X$44:$X$67,0))&amp;"] "&amp;INDEX($G$44:$G$67,MATCH(TEXT(T15,"yyyymmdd")&amp;"|1",$X$44:$X$67,0))&amp;IF(INDEX($Q$44:$Q$67,MATCH(TEXT(T15,"yyyymmdd")&amp;"|1",$X$44:$X$67,0))&lt;&gt;""," • "&amp;INDEX($Q$44:$Q$67,MATCH(TEXT(T15,"yyyymmdd")&amp;"|1",$X$44:$X$67,0)),"")&amp;IF(INDEX($N$44:$N$67,MATCH(TEXT(T15,"yyyymmdd")&amp;"|1",$X$44:$X$67,0))&lt;&gt;""," — "&amp;INDEX($N$44:$N$67,MATCH(TEXT(T15,"yyyymmdd")&amp;"|1",$X$44:$X$67,0)),"")&amp;IF(AND(INDEX($S$44:$S$67,MATCH(TEXT(T15,"yyyymmdd")&amp;"|1",$X$44:$X$67,0))&lt;&gt;"",INDEX($S$44:$S$67,MATCH(TEXT(T15,"yyyymmdd")&amp;"|1",$X$44:$X$67,0))&lt;&gt;"Planned")," • "&amp;INDEX($S$44:$S$67,MATCH(TEXT(T15,"yyyymmdd")&amp;"|1",$X$44:$X$67,0)),""),"")</x:f>
        <x:v>[Close] Prior-month data cutoff and close kickoff • 9:00 AM — Accounting</x:v>
      </x:c>
      <x:c r="U16" s="58"/>
      <x:c r="V16" s="59"/>
      <x:c r="W16" s="24"/>
      <x:c r="X16" s="24"/>
    </x:row>
    <x:row r="17" ht="16.5" customHeight="1">
      <x:c r="B17" s="57" t="str">
        <x:f t="array" ref="B17">IFERROR("["&amp;INDEX($D$44:$D$67,MATCH(TEXT(B15,"yyyymmdd")&amp;"|2",$X$44:$X$67,0))&amp;"] "&amp;INDEX($G$44:$G$67,MATCH(TEXT(B15,"yyyymmdd")&amp;"|2",$X$44:$X$67,0))&amp;IF(INDEX($Q$44:$Q$67,MATCH(TEXT(B15,"yyyymmdd")&amp;"|2",$X$44:$X$67,0))&lt;&gt;""," • "&amp;INDEX($Q$44:$Q$67,MATCH(TEXT(B15,"yyyymmdd")&amp;"|2",$X$44:$X$67,0)),"")&amp;IF(INDEX($N$44:$N$67,MATCH(TEXT(B15,"yyyymmdd")&amp;"|2",$X$44:$X$67,0))&lt;&gt;""," — "&amp;INDEX($N$44:$N$67,MATCH(TEXT(B15,"yyyymmdd")&amp;"|2",$X$44:$X$67,0)),"")&amp;IF(AND(INDEX($S$44:$S$67,MATCH(TEXT(B15,"yyyymmdd")&amp;"|2",$X$44:$X$67,0))&lt;&gt;"",INDEX($S$44:$S$67,MATCH(TEXT(B15,"yyyymmdd")&amp;"|2",$X$44:$X$67,0))&lt;&gt;"Planned")," • "&amp;INDEX($S$44:$S$67,MATCH(TEXT(B15,"yyyymmdd")&amp;"|2",$X$44:$X$67,0)),""),"")</x:f>
      </x:c>
      <x:c r="C17" s="58"/>
      <x:c r="D17" s="59"/>
      <x:c r="E17" s="60" t="str">
        <x:f t="array" ref="E17">IFERROR("["&amp;INDEX($D$44:$D$67,MATCH(TEXT(E15,"yyyymmdd")&amp;"|2",$X$44:$X$67,0))&amp;"] "&amp;INDEX($G$44:$G$67,MATCH(TEXT(E15,"yyyymmdd")&amp;"|2",$X$44:$X$67,0))&amp;IF(INDEX($Q$44:$Q$67,MATCH(TEXT(E15,"yyyymmdd")&amp;"|2",$X$44:$X$67,0))&lt;&gt;""," • "&amp;INDEX($Q$44:$Q$67,MATCH(TEXT(E15,"yyyymmdd")&amp;"|2",$X$44:$X$67,0)),"")&amp;IF(INDEX($N$44:$N$67,MATCH(TEXT(E15,"yyyymmdd")&amp;"|2",$X$44:$X$67,0))&lt;&gt;""," — "&amp;INDEX($N$44:$N$67,MATCH(TEXT(E15,"yyyymmdd")&amp;"|2",$X$44:$X$67,0)),"")&amp;IF(AND(INDEX($S$44:$S$67,MATCH(TEXT(E15,"yyyymmdd")&amp;"|2",$X$44:$X$67,0))&lt;&gt;"",INDEX($S$44:$S$67,MATCH(TEXT(E15,"yyyymmdd")&amp;"|2",$X$44:$X$67,0))&lt;&gt;"Planned")," • "&amp;INDEX($S$44:$S$67,MATCH(TEXT(E15,"yyyymmdd")&amp;"|2",$X$44:$X$67,0)),""),"")</x:f>
        <x:v>[Planning] Forecast inputs open • 9:00 AM — FP&amp;A</x:v>
      </x:c>
      <x:c r="F17" s="58"/>
      <x:c r="G17" s="59"/>
      <x:c r="H17" s="60" t="str">
        <x:f t="array" ref="H17">IFERROR("["&amp;INDEX($D$44:$D$67,MATCH(TEXT(H15,"yyyymmdd")&amp;"|2",$X$44:$X$67,0))&amp;"] "&amp;INDEX($G$44:$G$67,MATCH(TEXT(H15,"yyyymmdd")&amp;"|2",$X$44:$X$67,0))&amp;IF(INDEX($Q$44:$Q$67,MATCH(TEXT(H15,"yyyymmdd")&amp;"|2",$X$44:$X$67,0))&lt;&gt;""," • "&amp;INDEX($Q$44:$Q$67,MATCH(TEXT(H15,"yyyymmdd")&amp;"|2",$X$44:$X$67,0)),"")&amp;IF(INDEX($N$44:$N$67,MATCH(TEXT(H15,"yyyymmdd")&amp;"|2",$X$44:$X$67,0))&lt;&gt;""," — "&amp;INDEX($N$44:$N$67,MATCH(TEXT(H15,"yyyymmdd")&amp;"|2",$X$44:$X$67,0)),"")&amp;IF(AND(INDEX($S$44:$S$67,MATCH(TEXT(H15,"yyyymmdd")&amp;"|2",$X$44:$X$67,0))&lt;&gt;"",INDEX($S$44:$S$67,MATCH(TEXT(H15,"yyyymmdd")&amp;"|2",$X$44:$X$67,0))&lt;&gt;"Planned")," • "&amp;INDEX($S$44:$S$67,MATCH(TEXT(H15,"yyyymmdd")&amp;"|2",$X$44:$X$67,0)),""),"")</x:f>
      </x:c>
      <x:c r="I17" s="58"/>
      <x:c r="J17" s="59"/>
      <x:c r="K17" s="60" t="str">
        <x:f t="array" ref="K17">IFERROR("["&amp;INDEX($D$44:$D$67,MATCH(TEXT(K15,"yyyymmdd")&amp;"|2",$X$44:$X$67,0))&amp;"] "&amp;INDEX($G$44:$G$67,MATCH(TEXT(K15,"yyyymmdd")&amp;"|2",$X$44:$X$67,0))&amp;IF(INDEX($Q$44:$Q$67,MATCH(TEXT(K15,"yyyymmdd")&amp;"|2",$X$44:$X$67,0))&lt;&gt;""," • "&amp;INDEX($Q$44:$Q$67,MATCH(TEXT(K15,"yyyymmdd")&amp;"|2",$X$44:$X$67,0)),"")&amp;IF(INDEX($N$44:$N$67,MATCH(TEXT(K15,"yyyymmdd")&amp;"|2",$X$44:$X$67,0))&lt;&gt;""," — "&amp;INDEX($N$44:$N$67,MATCH(TEXT(K15,"yyyymmdd")&amp;"|2",$X$44:$X$67,0)),"")&amp;IF(AND(INDEX($S$44:$S$67,MATCH(TEXT(K15,"yyyymmdd")&amp;"|2",$X$44:$X$67,0))&lt;&gt;"",INDEX($S$44:$S$67,MATCH(TEXT(K15,"yyyymmdd")&amp;"|2",$X$44:$X$67,0))&lt;&gt;"Planned")," • "&amp;INDEX($S$44:$S$67,MATCH(TEXT(K15,"yyyymmdd")&amp;"|2",$X$44:$X$67,0)),""),"")</x:f>
        <x:v>[Planning] Department forecast submissions due • 5:00 PM — Business Partners</x:v>
      </x:c>
      <x:c r="L17" s="58"/>
      <x:c r="M17" s="59"/>
      <x:c r="N17" s="60" t="str">
        <x:f t="array" ref="N17">IFERROR("["&amp;INDEX($D$44:$D$67,MATCH(TEXT(N15,"yyyymmdd")&amp;"|2",$X$44:$X$67,0))&amp;"] "&amp;INDEX($G$44:$G$67,MATCH(TEXT(N15,"yyyymmdd")&amp;"|2",$X$44:$X$67,0))&amp;IF(INDEX($Q$44:$Q$67,MATCH(TEXT(N15,"yyyymmdd")&amp;"|2",$X$44:$X$67,0))&lt;&gt;""," • "&amp;INDEX($Q$44:$Q$67,MATCH(TEXT(N15,"yyyymmdd")&amp;"|2",$X$44:$X$67,0)),"")&amp;IF(INDEX($N$44:$N$67,MATCH(TEXT(N15,"yyyymmdd")&amp;"|2",$X$44:$X$67,0))&lt;&gt;""," — "&amp;INDEX($N$44:$N$67,MATCH(TEXT(N15,"yyyymmdd")&amp;"|2",$X$44:$X$67,0)),"")&amp;IF(AND(INDEX($S$44:$S$67,MATCH(TEXT(N15,"yyyymmdd")&amp;"|2",$X$44:$X$67,0))&lt;&gt;"",INDEX($S$44:$S$67,MATCH(TEXT(N15,"yyyymmdd")&amp;"|2",$X$44:$X$67,0))&lt;&gt;"Planned")," • "&amp;INDEX($S$44:$S$67,MATCH(TEXT(N15,"yyyymmdd")&amp;"|2",$X$44:$X$67,0)),""),"")</x:f>
      </x:c>
      <x:c r="O17" s="58"/>
      <x:c r="P17" s="59"/>
      <x:c r="Q17" s="60" t="str">
        <x:f t="array" ref="Q17">IFERROR("["&amp;INDEX($D$44:$D$67,MATCH(TEXT(Q15,"yyyymmdd")&amp;"|2",$X$44:$X$67,0))&amp;"] "&amp;INDEX($G$44:$G$67,MATCH(TEXT(Q15,"yyyymmdd")&amp;"|2",$X$44:$X$67,0))&amp;IF(INDEX($Q$44:$Q$67,MATCH(TEXT(Q15,"yyyymmdd")&amp;"|2",$X$44:$X$67,0))&lt;&gt;""," • "&amp;INDEX($Q$44:$Q$67,MATCH(TEXT(Q15,"yyyymmdd")&amp;"|2",$X$44:$X$67,0)),"")&amp;IF(INDEX($N$44:$N$67,MATCH(TEXT(Q15,"yyyymmdd")&amp;"|2",$X$44:$X$67,0))&lt;&gt;""," — "&amp;INDEX($N$44:$N$67,MATCH(TEXT(Q15,"yyyymmdd")&amp;"|2",$X$44:$X$67,0)),"")&amp;IF(AND(INDEX($S$44:$S$67,MATCH(TEXT(Q15,"yyyymmdd")&amp;"|2",$X$44:$X$67,0))&lt;&gt;"",INDEX($S$44:$S$67,MATCH(TEXT(Q15,"yyyymmdd")&amp;"|2",$X$44:$X$67,0))&lt;&gt;"Planned")," • "&amp;INDEX($S$44:$S$67,MATCH(TEXT(Q15,"yyyymmdd")&amp;"|2",$X$44:$X$67,0)),""),"")</x:f>
        <x:v>[Planning] Forecast consolidation • 12:00 PM — FP&amp;A</x:v>
      </x:c>
      <x:c r="R17" s="58"/>
      <x:c r="S17" s="59"/>
      <x:c r="T17" s="57" t="str">
        <x:f t="array" ref="T17">IFERROR("["&amp;INDEX($D$44:$D$67,MATCH(TEXT(T15,"yyyymmdd")&amp;"|2",$X$44:$X$67,0))&amp;"] "&amp;INDEX($G$44:$G$67,MATCH(TEXT(T15,"yyyymmdd")&amp;"|2",$X$44:$X$67,0))&amp;IF(INDEX($Q$44:$Q$67,MATCH(TEXT(T15,"yyyymmdd")&amp;"|2",$X$44:$X$67,0))&lt;&gt;""," • "&amp;INDEX($Q$44:$Q$67,MATCH(TEXT(T15,"yyyymmdd")&amp;"|2",$X$44:$X$67,0)),"")&amp;IF(INDEX($N$44:$N$67,MATCH(TEXT(T15,"yyyymmdd")&amp;"|2",$X$44:$X$67,0))&lt;&gt;""," — "&amp;INDEX($N$44:$N$67,MATCH(TEXT(T15,"yyyymmdd")&amp;"|2",$X$44:$X$67,0)),"")&amp;IF(AND(INDEX($S$44:$S$67,MATCH(TEXT(T15,"yyyymmdd")&amp;"|2",$X$44:$X$67,0))&lt;&gt;"",INDEX($S$44:$S$67,MATCH(TEXT(T15,"yyyymmdd")&amp;"|2",$X$44:$X$67,0))&lt;&gt;"Planned")," • "&amp;INDEX($S$44:$S$67,MATCH(TEXT(T15,"yyyymmdd")&amp;"|2",$X$44:$X$67,0)),""),"")</x:f>
      </x:c>
      <x:c r="U17" s="58"/>
      <x:c r="V17" s="59"/>
      <x:c r="W17" s="24"/>
      <x:c r="X17" s="24"/>
    </x:row>
    <x:row r="18" ht="16.5" customHeight="1">
      <x:c r="B18" s="57" t="str">
        <x:f t="array" ref="B18">IFERROR("["&amp;INDEX($D$44:$D$67,MATCH(TEXT(B15,"yyyymmdd")&amp;"|3",$X$44:$X$67,0))&amp;"] "&amp;INDEX($G$44:$G$67,MATCH(TEXT(B15,"yyyymmdd")&amp;"|3",$X$44:$X$67,0))&amp;IF(INDEX($Q$44:$Q$67,MATCH(TEXT(B15,"yyyymmdd")&amp;"|3",$X$44:$X$67,0))&lt;&gt;""," • "&amp;INDEX($Q$44:$Q$67,MATCH(TEXT(B15,"yyyymmdd")&amp;"|3",$X$44:$X$67,0)),"")&amp;IF(INDEX($N$44:$N$67,MATCH(TEXT(B15,"yyyymmdd")&amp;"|3",$X$44:$X$67,0))&lt;&gt;""," — "&amp;INDEX($N$44:$N$67,MATCH(TEXT(B15,"yyyymmdd")&amp;"|3",$X$44:$X$67,0)),"")&amp;IF(AND(INDEX($S$44:$S$67,MATCH(TEXT(B15,"yyyymmdd")&amp;"|3",$X$44:$X$67,0))&lt;&gt;"",INDEX($S$44:$S$67,MATCH(TEXT(B15,"yyyymmdd")&amp;"|3",$X$44:$X$67,0))&lt;&gt;"Planned")," • "&amp;INDEX($S$44:$S$67,MATCH(TEXT(B15,"yyyymmdd")&amp;"|3",$X$44:$X$67,0)),""),"")</x:f>
      </x:c>
      <x:c r="C18" s="58"/>
      <x:c r="D18" s="59"/>
      <x:c r="E18" s="60" t="str">
        <x:f t="array" ref="E18">IFERROR("["&amp;INDEX($D$44:$D$67,MATCH(TEXT(E15,"yyyymmdd")&amp;"|3",$X$44:$X$67,0))&amp;"] "&amp;INDEX($G$44:$G$67,MATCH(TEXT(E15,"yyyymmdd")&amp;"|3",$X$44:$X$67,0))&amp;IF(INDEX($Q$44:$Q$67,MATCH(TEXT(E15,"yyyymmdd")&amp;"|3",$X$44:$X$67,0))&lt;&gt;""," • "&amp;INDEX($Q$44:$Q$67,MATCH(TEXT(E15,"yyyymmdd")&amp;"|3",$X$44:$X$67,0)),"")&amp;IF(INDEX($N$44:$N$67,MATCH(TEXT(E15,"yyyymmdd")&amp;"|3",$X$44:$X$67,0))&lt;&gt;""," — "&amp;INDEX($N$44:$N$67,MATCH(TEXT(E15,"yyyymmdd")&amp;"|3",$X$44:$X$67,0)),"")&amp;IF(AND(INDEX($S$44:$S$67,MATCH(TEXT(E15,"yyyymmdd")&amp;"|3",$X$44:$X$67,0))&lt;&gt;"",INDEX($S$44:$S$67,MATCH(TEXT(E15,"yyyymmdd")&amp;"|3",$X$44:$X$67,0))&lt;&gt;"Planned")," • "&amp;INDEX($S$44:$S$67,MATCH(TEXT(E15,"yyyymmdd")&amp;"|3",$X$44:$X$67,0)),""),"")</x:f>
        <x:v>[Planning] Forecast inputs open • 9:00 AM — FP&amp;A</x:v>
      </x:c>
      <x:c r="F18" s="58"/>
      <x:c r="G18" s="59"/>
      <x:c r="H18" s="60" t="str">
        <x:f t="array" ref="H18">IFERROR("["&amp;INDEX($D$44:$D$67,MATCH(TEXT(H15,"yyyymmdd")&amp;"|3",$X$44:$X$67,0))&amp;"] "&amp;INDEX($G$44:$G$67,MATCH(TEXT(H15,"yyyymmdd")&amp;"|3",$X$44:$X$67,0))&amp;IF(INDEX($Q$44:$Q$67,MATCH(TEXT(H15,"yyyymmdd")&amp;"|3",$X$44:$X$67,0))&lt;&gt;""," • "&amp;INDEX($Q$44:$Q$67,MATCH(TEXT(H15,"yyyymmdd")&amp;"|3",$X$44:$X$67,0)),"")&amp;IF(INDEX($N$44:$N$67,MATCH(TEXT(H15,"yyyymmdd")&amp;"|3",$X$44:$X$67,0))&lt;&gt;""," — "&amp;INDEX($N$44:$N$67,MATCH(TEXT(H15,"yyyymmdd")&amp;"|3",$X$44:$X$67,0)),"")&amp;IF(AND(INDEX($S$44:$S$67,MATCH(TEXT(H15,"yyyymmdd")&amp;"|3",$X$44:$X$67,0))&lt;&gt;"",INDEX($S$44:$S$67,MATCH(TEXT(H15,"yyyymmdd")&amp;"|3",$X$44:$X$67,0))&lt;&gt;"Planned")," • "&amp;INDEX($S$44:$S$67,MATCH(TEXT(H15,"yyyymmdd")&amp;"|3",$X$44:$X$67,0)),""),"")</x:f>
      </x:c>
      <x:c r="I18" s="58"/>
      <x:c r="J18" s="59"/>
      <x:c r="K18" s="60" t="str">
        <x:f t="array" ref="K18">IFERROR("["&amp;INDEX($D$44:$D$67,MATCH(TEXT(K15,"yyyymmdd")&amp;"|3",$X$44:$X$67,0))&amp;"] "&amp;INDEX($G$44:$G$67,MATCH(TEXT(K15,"yyyymmdd")&amp;"|3",$X$44:$X$67,0))&amp;IF(INDEX($Q$44:$Q$67,MATCH(TEXT(K15,"yyyymmdd")&amp;"|3",$X$44:$X$67,0))&lt;&gt;""," • "&amp;INDEX($Q$44:$Q$67,MATCH(TEXT(K15,"yyyymmdd")&amp;"|3",$X$44:$X$67,0)),"")&amp;IF(INDEX($N$44:$N$67,MATCH(TEXT(K15,"yyyymmdd")&amp;"|3",$X$44:$X$67,0))&lt;&gt;""," — "&amp;INDEX($N$44:$N$67,MATCH(TEXT(K15,"yyyymmdd")&amp;"|3",$X$44:$X$67,0)),"")&amp;IF(AND(INDEX($S$44:$S$67,MATCH(TEXT(K15,"yyyymmdd")&amp;"|3",$X$44:$X$67,0))&lt;&gt;"",INDEX($S$44:$S$67,MATCH(TEXT(K15,"yyyymmdd")&amp;"|3",$X$44:$X$67,0))&lt;&gt;"Planned")," • "&amp;INDEX($S$44:$S$67,MATCH(TEXT(K15,"yyyymmdd")&amp;"|3",$X$44:$X$67,0)),""),"")</x:f>
        <x:v>[Planning] Department forecast submissions due • 5:00 PM — Business Partners</x:v>
      </x:c>
      <x:c r="L18" s="58"/>
      <x:c r="M18" s="59"/>
      <x:c r="N18" s="60" t="str">
        <x:f t="array" ref="N18">IFERROR("["&amp;INDEX($D$44:$D$67,MATCH(TEXT(N15,"yyyymmdd")&amp;"|3",$X$44:$X$67,0))&amp;"] "&amp;INDEX($G$44:$G$67,MATCH(TEXT(N15,"yyyymmdd")&amp;"|3",$X$44:$X$67,0))&amp;IF(INDEX($Q$44:$Q$67,MATCH(TEXT(N15,"yyyymmdd")&amp;"|3",$X$44:$X$67,0))&lt;&gt;""," • "&amp;INDEX($Q$44:$Q$67,MATCH(TEXT(N15,"yyyymmdd")&amp;"|3",$X$44:$X$67,0)),"")&amp;IF(INDEX($N$44:$N$67,MATCH(TEXT(N15,"yyyymmdd")&amp;"|3",$X$44:$X$67,0))&lt;&gt;""," — "&amp;INDEX($N$44:$N$67,MATCH(TEXT(N15,"yyyymmdd")&amp;"|3",$X$44:$X$67,0)),"")&amp;IF(AND(INDEX($S$44:$S$67,MATCH(TEXT(N15,"yyyymmdd")&amp;"|3",$X$44:$X$67,0))&lt;&gt;"",INDEX($S$44:$S$67,MATCH(TEXT(N15,"yyyymmdd")&amp;"|3",$X$44:$X$67,0))&lt;&gt;"Planned")," • "&amp;INDEX($S$44:$S$67,MATCH(TEXT(N15,"yyyymmdd")&amp;"|3",$X$44:$X$67,0)),""),"")</x:f>
      </x:c>
      <x:c r="O18" s="58"/>
      <x:c r="P18" s="59"/>
      <x:c r="Q18" s="60" t="str">
        <x:f t="array" ref="Q18">IFERROR("["&amp;INDEX($D$44:$D$67,MATCH(TEXT(Q15,"yyyymmdd")&amp;"|3",$X$44:$X$67,0))&amp;"] "&amp;INDEX($G$44:$G$67,MATCH(TEXT(Q15,"yyyymmdd")&amp;"|3",$X$44:$X$67,0))&amp;IF(INDEX($Q$44:$Q$67,MATCH(TEXT(Q15,"yyyymmdd")&amp;"|3",$X$44:$X$67,0))&lt;&gt;""," • "&amp;INDEX($Q$44:$Q$67,MATCH(TEXT(Q15,"yyyymmdd")&amp;"|3",$X$44:$X$67,0)),"")&amp;IF(INDEX($N$44:$N$67,MATCH(TEXT(Q15,"yyyymmdd")&amp;"|3",$X$44:$X$67,0))&lt;&gt;""," — "&amp;INDEX($N$44:$N$67,MATCH(TEXT(Q15,"yyyymmdd")&amp;"|3",$X$44:$X$67,0)),"")&amp;IF(AND(INDEX($S$44:$S$67,MATCH(TEXT(Q15,"yyyymmdd")&amp;"|3",$X$44:$X$67,0))&lt;&gt;"",INDEX($S$44:$S$67,MATCH(TEXT(Q15,"yyyymmdd")&amp;"|3",$X$44:$X$67,0))&lt;&gt;"Planned")," • "&amp;INDEX($S$44:$S$67,MATCH(TEXT(Q15,"yyyymmdd")&amp;"|3",$X$44:$X$67,0)),""),"")</x:f>
        <x:v>[Planning] Forecast consolidation • 12:00 PM — FP&amp;A</x:v>
      </x:c>
      <x:c r="R18" s="58"/>
      <x:c r="S18" s="59"/>
      <x:c r="T18" s="57" t="str">
        <x:f t="array" ref="T18">IFERROR("["&amp;INDEX($D$44:$D$67,MATCH(TEXT(T15,"yyyymmdd")&amp;"|3",$X$44:$X$67,0))&amp;"] "&amp;INDEX($G$44:$G$67,MATCH(TEXT(T15,"yyyymmdd")&amp;"|3",$X$44:$X$67,0))&amp;IF(INDEX($Q$44:$Q$67,MATCH(TEXT(T15,"yyyymmdd")&amp;"|3",$X$44:$X$67,0))&lt;&gt;""," • "&amp;INDEX($Q$44:$Q$67,MATCH(TEXT(T15,"yyyymmdd")&amp;"|3",$X$44:$X$67,0)),"")&amp;IF(INDEX($N$44:$N$67,MATCH(TEXT(T15,"yyyymmdd")&amp;"|3",$X$44:$X$67,0))&lt;&gt;""," — "&amp;INDEX($N$44:$N$67,MATCH(TEXT(T15,"yyyymmdd")&amp;"|3",$X$44:$X$67,0)),"")&amp;IF(AND(INDEX($S$44:$S$67,MATCH(TEXT(T15,"yyyymmdd")&amp;"|3",$X$44:$X$67,0))&lt;&gt;"",INDEX($S$44:$S$67,MATCH(TEXT(T15,"yyyymmdd")&amp;"|3",$X$44:$X$67,0))&lt;&gt;"Planned")," • "&amp;INDEX($S$44:$S$67,MATCH(TEXT(T15,"yyyymmdd")&amp;"|3",$X$44:$X$67,0)),""),"")</x:f>
      </x:c>
      <x:c r="U18" s="58"/>
      <x:c r="V18" s="59"/>
      <x:c r="W18" s="24"/>
      <x:c r="X18" s="24"/>
    </x:row>
    <x:row r="19" ht="16.5" customHeight="1">
      <x:c r="B19" s="57" t="str">
        <x:f t="array" ref="B19">IFERROR("["&amp;INDEX($D$44:$D$67,MATCH(TEXT(B15,"yyyymmdd")&amp;"|4",$X$44:$X$67,0))&amp;"] "&amp;INDEX($G$44:$G$67,MATCH(TEXT(B15,"yyyymmdd")&amp;"|4",$X$44:$X$67,0))&amp;IF(INDEX($Q$44:$Q$67,MATCH(TEXT(B15,"yyyymmdd")&amp;"|4",$X$44:$X$67,0))&lt;&gt;""," • "&amp;INDEX($Q$44:$Q$67,MATCH(TEXT(B15,"yyyymmdd")&amp;"|4",$X$44:$X$67,0)),"")&amp;IF(INDEX($N$44:$N$67,MATCH(TEXT(B15,"yyyymmdd")&amp;"|4",$X$44:$X$67,0))&lt;&gt;""," — "&amp;INDEX($N$44:$N$67,MATCH(TEXT(B15,"yyyymmdd")&amp;"|4",$X$44:$X$67,0)),"")&amp;IF(AND(INDEX($S$44:$S$67,MATCH(TEXT(B15,"yyyymmdd")&amp;"|4",$X$44:$X$67,0))&lt;&gt;"",INDEX($S$44:$S$67,MATCH(TEXT(B15,"yyyymmdd")&amp;"|4",$X$44:$X$67,0))&lt;&gt;"Planned")," • "&amp;INDEX($S$44:$S$67,MATCH(TEXT(B15,"yyyymmdd")&amp;"|4",$X$44:$X$67,0)),""),"")</x:f>
      </x:c>
      <x:c r="C19" s="58"/>
      <x:c r="D19" s="59"/>
      <x:c r="E19" s="60" t="str">
        <x:f t="array" ref="E19">IFERROR("["&amp;INDEX($D$44:$D$67,MATCH(TEXT(E15,"yyyymmdd")&amp;"|4",$X$44:$X$67,0))&amp;"] "&amp;INDEX($G$44:$G$67,MATCH(TEXT(E15,"yyyymmdd")&amp;"|4",$X$44:$X$67,0))&amp;IF(INDEX($Q$44:$Q$67,MATCH(TEXT(E15,"yyyymmdd")&amp;"|4",$X$44:$X$67,0))&lt;&gt;""," • "&amp;INDEX($Q$44:$Q$67,MATCH(TEXT(E15,"yyyymmdd")&amp;"|4",$X$44:$X$67,0)),"")&amp;IF(INDEX($N$44:$N$67,MATCH(TEXT(E15,"yyyymmdd")&amp;"|4",$X$44:$X$67,0))&lt;&gt;""," — "&amp;INDEX($N$44:$N$67,MATCH(TEXT(E15,"yyyymmdd")&amp;"|4",$X$44:$X$67,0)),"")&amp;IF(AND(INDEX($S$44:$S$67,MATCH(TEXT(E15,"yyyymmdd")&amp;"|4",$X$44:$X$67,0))&lt;&gt;"",INDEX($S$44:$S$67,MATCH(TEXT(E15,"yyyymmdd")&amp;"|4",$X$44:$X$67,0))&lt;&gt;"Planned")," • "&amp;INDEX($S$44:$S$67,MATCH(TEXT(E15,"yyyymmdd")&amp;"|4",$X$44:$X$67,0)),""),"")</x:f>
        <x:v>[Planning] Forecast inputs open • 9:00 AM — FP&amp;A</x:v>
      </x:c>
      <x:c r="F19" s="58"/>
      <x:c r="G19" s="59"/>
      <x:c r="H19" s="60" t="str">
        <x:f t="array" ref="H19">IFERROR("["&amp;INDEX($D$44:$D$67,MATCH(TEXT(H15,"yyyymmdd")&amp;"|4",$X$44:$X$67,0))&amp;"] "&amp;INDEX($G$44:$G$67,MATCH(TEXT(H15,"yyyymmdd")&amp;"|4",$X$44:$X$67,0))&amp;IF(INDEX($Q$44:$Q$67,MATCH(TEXT(H15,"yyyymmdd")&amp;"|4",$X$44:$X$67,0))&lt;&gt;""," • "&amp;INDEX($Q$44:$Q$67,MATCH(TEXT(H15,"yyyymmdd")&amp;"|4",$X$44:$X$67,0)),"")&amp;IF(INDEX($N$44:$N$67,MATCH(TEXT(H15,"yyyymmdd")&amp;"|4",$X$44:$X$67,0))&lt;&gt;""," — "&amp;INDEX($N$44:$N$67,MATCH(TEXT(H15,"yyyymmdd")&amp;"|4",$X$44:$X$67,0)),"")&amp;IF(AND(INDEX($S$44:$S$67,MATCH(TEXT(H15,"yyyymmdd")&amp;"|4",$X$44:$X$67,0))&lt;&gt;"",INDEX($S$44:$S$67,MATCH(TEXT(H15,"yyyymmdd")&amp;"|4",$X$44:$X$67,0))&lt;&gt;"Planned")," • "&amp;INDEX($S$44:$S$67,MATCH(TEXT(H15,"yyyymmdd")&amp;"|4",$X$44:$X$67,0)),""),"")</x:f>
      </x:c>
      <x:c r="I19" s="58"/>
      <x:c r="J19" s="59"/>
      <x:c r="K19" s="60" t="str">
        <x:f t="array" ref="K19">IFERROR("["&amp;INDEX($D$44:$D$67,MATCH(TEXT(K15,"yyyymmdd")&amp;"|4",$X$44:$X$67,0))&amp;"] "&amp;INDEX($G$44:$G$67,MATCH(TEXT(K15,"yyyymmdd")&amp;"|4",$X$44:$X$67,0))&amp;IF(INDEX($Q$44:$Q$67,MATCH(TEXT(K15,"yyyymmdd")&amp;"|4",$X$44:$X$67,0))&lt;&gt;""," • "&amp;INDEX($Q$44:$Q$67,MATCH(TEXT(K15,"yyyymmdd")&amp;"|4",$X$44:$X$67,0)),"")&amp;IF(INDEX($N$44:$N$67,MATCH(TEXT(K15,"yyyymmdd")&amp;"|4",$X$44:$X$67,0))&lt;&gt;""," — "&amp;INDEX($N$44:$N$67,MATCH(TEXT(K15,"yyyymmdd")&amp;"|4",$X$44:$X$67,0)),"")&amp;IF(AND(INDEX($S$44:$S$67,MATCH(TEXT(K15,"yyyymmdd")&amp;"|4",$X$44:$X$67,0))&lt;&gt;"",INDEX($S$44:$S$67,MATCH(TEXT(K15,"yyyymmdd")&amp;"|4",$X$44:$X$67,0))&lt;&gt;"Planned")," • "&amp;INDEX($S$44:$S$67,MATCH(TEXT(K15,"yyyymmdd")&amp;"|4",$X$44:$X$67,0)),""),"")</x:f>
        <x:v>[Planning] Department forecast submissions due • 5:00 PM — Business Partners</x:v>
      </x:c>
      <x:c r="L19" s="58"/>
      <x:c r="M19" s="59"/>
      <x:c r="N19" s="60" t="str">
        <x:f t="array" ref="N19">IFERROR("["&amp;INDEX($D$44:$D$67,MATCH(TEXT(N15,"yyyymmdd")&amp;"|4",$X$44:$X$67,0))&amp;"] "&amp;INDEX($G$44:$G$67,MATCH(TEXT(N15,"yyyymmdd")&amp;"|4",$X$44:$X$67,0))&amp;IF(INDEX($Q$44:$Q$67,MATCH(TEXT(N15,"yyyymmdd")&amp;"|4",$X$44:$X$67,0))&lt;&gt;""," • "&amp;INDEX($Q$44:$Q$67,MATCH(TEXT(N15,"yyyymmdd")&amp;"|4",$X$44:$X$67,0)),"")&amp;IF(INDEX($N$44:$N$67,MATCH(TEXT(N15,"yyyymmdd")&amp;"|4",$X$44:$X$67,0))&lt;&gt;""," — "&amp;INDEX($N$44:$N$67,MATCH(TEXT(N15,"yyyymmdd")&amp;"|4",$X$44:$X$67,0)),"")&amp;IF(AND(INDEX($S$44:$S$67,MATCH(TEXT(N15,"yyyymmdd")&amp;"|4",$X$44:$X$67,0))&lt;&gt;"",INDEX($S$44:$S$67,MATCH(TEXT(N15,"yyyymmdd")&amp;"|4",$X$44:$X$67,0))&lt;&gt;"Planned")," • "&amp;INDEX($S$44:$S$67,MATCH(TEXT(N15,"yyyymmdd")&amp;"|4",$X$44:$X$67,0)),""),"")</x:f>
      </x:c>
      <x:c r="O19" s="58"/>
      <x:c r="P19" s="59"/>
      <x:c r="Q19" s="60" t="str">
        <x:f t="array" ref="Q19">IFERROR("["&amp;INDEX($D$44:$D$67,MATCH(TEXT(Q15,"yyyymmdd")&amp;"|4",$X$44:$X$67,0))&amp;"] "&amp;INDEX($G$44:$G$67,MATCH(TEXT(Q15,"yyyymmdd")&amp;"|4",$X$44:$X$67,0))&amp;IF(INDEX($Q$44:$Q$67,MATCH(TEXT(Q15,"yyyymmdd")&amp;"|4",$X$44:$X$67,0))&lt;&gt;""," • "&amp;INDEX($Q$44:$Q$67,MATCH(TEXT(Q15,"yyyymmdd")&amp;"|4",$X$44:$X$67,0)),"")&amp;IF(INDEX($N$44:$N$67,MATCH(TEXT(Q15,"yyyymmdd")&amp;"|4",$X$44:$X$67,0))&lt;&gt;""," — "&amp;INDEX($N$44:$N$67,MATCH(TEXT(Q15,"yyyymmdd")&amp;"|4",$X$44:$X$67,0)),"")&amp;IF(AND(INDEX($S$44:$S$67,MATCH(TEXT(Q15,"yyyymmdd")&amp;"|4",$X$44:$X$67,0))&lt;&gt;"",INDEX($S$44:$S$67,MATCH(TEXT(Q15,"yyyymmdd")&amp;"|4",$X$44:$X$67,0))&lt;&gt;"Planned")," • "&amp;INDEX($S$44:$S$67,MATCH(TEXT(Q15,"yyyymmdd")&amp;"|4",$X$44:$X$67,0)),""),"")</x:f>
        <x:v>[Planning] Forecast consolidation • 12:00 PM — FP&amp;A</x:v>
      </x:c>
      <x:c r="R19" s="58"/>
      <x:c r="S19" s="59"/>
      <x:c r="T19" s="57" t="str">
        <x:f t="array" ref="T19">IFERROR("["&amp;INDEX($D$44:$D$67,MATCH(TEXT(T15,"yyyymmdd")&amp;"|4",$X$44:$X$67,0))&amp;"] "&amp;INDEX($G$44:$G$67,MATCH(TEXT(T15,"yyyymmdd")&amp;"|4",$X$44:$X$67,0))&amp;IF(INDEX($Q$44:$Q$67,MATCH(TEXT(T15,"yyyymmdd")&amp;"|4",$X$44:$X$67,0))&lt;&gt;""," • "&amp;INDEX($Q$44:$Q$67,MATCH(TEXT(T15,"yyyymmdd")&amp;"|4",$X$44:$X$67,0)),"")&amp;IF(INDEX($N$44:$N$67,MATCH(TEXT(T15,"yyyymmdd")&amp;"|4",$X$44:$X$67,0))&lt;&gt;""," — "&amp;INDEX($N$44:$N$67,MATCH(TEXT(T15,"yyyymmdd")&amp;"|4",$X$44:$X$67,0)),"")&amp;IF(AND(INDEX($S$44:$S$67,MATCH(TEXT(T15,"yyyymmdd")&amp;"|4",$X$44:$X$67,0))&lt;&gt;"",INDEX($S$44:$S$67,MATCH(TEXT(T15,"yyyymmdd")&amp;"|4",$X$44:$X$67,0))&lt;&gt;"Planned")," • "&amp;INDEX($S$44:$S$67,MATCH(TEXT(T15,"yyyymmdd")&amp;"|4",$X$44:$X$67,0)),""),"")</x:f>
      </x:c>
      <x:c r="U19" s="58"/>
      <x:c r="V19" s="59"/>
      <x:c r="W19" s="24"/>
      <x:c r="X19" s="24"/>
    </x:row>
    <x:row r="20" ht="12.75" customHeight="1">
      <x:c r="B20" s="66" t="n">
        <x:f>DATE($T$3,$X$2,1)-WEEKDAY(DATE($T$3,$X$2,1),1)+1+14</x:f>
        <x:v>46187</x:v>
      </x:c>
      <x:c r="C20" s="58"/>
      <x:c r="D20" s="59"/>
      <x:c r="E20" s="67" t="n">
        <x:f>DATE($T$3,$X$2,1)-WEEKDAY(DATE($T$3,$X$2,1),1)+1+15</x:f>
        <x:v>46188</x:v>
      </x:c>
      <x:c r="F20" s="58"/>
      <x:c r="G20" s="59"/>
      <x:c r="H20" s="67" t="n">
        <x:f>DATE($T$3,$X$2,1)-WEEKDAY(DATE($T$3,$X$2,1),1)+1+16</x:f>
        <x:v>46189</x:v>
      </x:c>
      <x:c r="I20" s="58"/>
      <x:c r="J20" s="59"/>
      <x:c r="K20" s="67" t="n">
        <x:f>DATE($T$3,$X$2,1)-WEEKDAY(DATE($T$3,$X$2,1),1)+1+17</x:f>
        <x:v>46190</x:v>
      </x:c>
      <x:c r="L20" s="58"/>
      <x:c r="M20" s="59"/>
      <x:c r="N20" s="67" t="n">
        <x:f>DATE($T$3,$X$2,1)-WEEKDAY(DATE($T$3,$X$2,1),1)+1+18</x:f>
        <x:v>46191</x:v>
      </x:c>
      <x:c r="O20" s="58"/>
      <x:c r="P20" s="59"/>
      <x:c r="Q20" s="67" t="n">
        <x:f>DATE($T$3,$X$2,1)-WEEKDAY(DATE($T$3,$X$2,1),1)+1+19</x:f>
        <x:v>46192</x:v>
      </x:c>
      <x:c r="R20" s="58"/>
      <x:c r="S20" s="59"/>
      <x:c r="T20" s="66" t="n">
        <x:f>DATE($T$3,$X$2,1)-WEEKDAY(DATE($T$3,$X$2,1),1)+1+20</x:f>
        <x:v>46193</x:v>
      </x:c>
      <x:c r="U20" s="58"/>
      <x:c r="V20" s="59"/>
      <x:c r="W20" s="24"/>
      <x:c r="X20" s="24"/>
    </x:row>
    <x:row r="21" ht="16.5" customHeight="1">
      <x:c r="B21" s="57" t="str">
        <x:f t="array" ref="B21">IFERROR("["&amp;INDEX($D$44:$D$67,MATCH(TEXT(B20,"yyyymmdd")&amp;"|1",$X$44:$X$67,0))&amp;"] "&amp;INDEX($G$44:$G$67,MATCH(TEXT(B20,"yyyymmdd")&amp;"|1",$X$44:$X$67,0))&amp;IF(INDEX($Q$44:$Q$67,MATCH(TEXT(B20,"yyyymmdd")&amp;"|1",$X$44:$X$67,0))&lt;&gt;""," • "&amp;INDEX($Q$44:$Q$67,MATCH(TEXT(B20,"yyyymmdd")&amp;"|1",$X$44:$X$67,0)),"")&amp;IF(INDEX($N$44:$N$67,MATCH(TEXT(B20,"yyyymmdd")&amp;"|1",$X$44:$X$67,0))&lt;&gt;""," — "&amp;INDEX($N$44:$N$67,MATCH(TEXT(B20,"yyyymmdd")&amp;"|1",$X$44:$X$67,0)),"")&amp;IF(AND(INDEX($S$44:$S$67,MATCH(TEXT(B20,"yyyymmdd")&amp;"|1",$X$44:$X$67,0))&lt;&gt;"",INDEX($S$44:$S$67,MATCH(TEXT(B20,"yyyymmdd")&amp;"|1",$X$44:$X$67,0))&lt;&gt;"Planned")," • "&amp;INDEX($S$44:$S$67,MATCH(TEXT(B20,"yyyymmdd")&amp;"|1",$X$44:$X$67,0)),""),"")</x:f>
        <x:v>[Close] Prior-month data cutoff and close kickoff • 9:00 AM — Accounting</x:v>
      </x:c>
      <x:c r="C21" s="58"/>
      <x:c r="D21" s="59"/>
      <x:c r="E21" s="60" t="str">
        <x:f t="array" ref="E21">IFERROR("["&amp;INDEX($D$44:$D$67,MATCH(TEXT(E20,"yyyymmdd")&amp;"|1",$X$44:$X$67,0))&amp;"] "&amp;INDEX($G$44:$G$67,MATCH(TEXT(E20,"yyyymmdd")&amp;"|1",$X$44:$X$67,0))&amp;IF(INDEX($Q$44:$Q$67,MATCH(TEXT(E20,"yyyymmdd")&amp;"|1",$X$44:$X$67,0))&lt;&gt;""," • "&amp;INDEX($Q$44:$Q$67,MATCH(TEXT(E20,"yyyymmdd")&amp;"|1",$X$44:$X$67,0)),"")&amp;IF(INDEX($N$44:$N$67,MATCH(TEXT(E20,"yyyymmdd")&amp;"|1",$X$44:$X$67,0))&lt;&gt;""," — "&amp;INDEX($N$44:$N$67,MATCH(TEXT(E20,"yyyymmdd")&amp;"|1",$X$44:$X$67,0)),"")&amp;IF(AND(INDEX($S$44:$S$67,MATCH(TEXT(E20,"yyyymmdd")&amp;"|1",$X$44:$X$67,0))&lt;&gt;"",INDEX($S$44:$S$67,MATCH(TEXT(E20,"yyyymmdd")&amp;"|1",$X$44:$X$67,0))&lt;&gt;"Planned")," • "&amp;INDEX($S$44:$S$67,MATCH(TEXT(E20,"yyyymmdd")&amp;"|1",$X$44:$X$67,0)),""),"")</x:f>
        <x:v>[Close] Prior-month data cutoff and close kickoff • 9:00 AM — Accounting</x:v>
      </x:c>
      <x:c r="F21" s="58"/>
      <x:c r="G21" s="59"/>
      <x:c r="H21" s="60" t="str">
        <x:f t="array" ref="H21">IFERROR("["&amp;INDEX($D$44:$D$67,MATCH(TEXT(H20,"yyyymmdd")&amp;"|1",$X$44:$X$67,0))&amp;"] "&amp;INDEX($G$44:$G$67,MATCH(TEXT(H20,"yyyymmdd")&amp;"|1",$X$44:$X$67,0))&amp;IF(INDEX($Q$44:$Q$67,MATCH(TEXT(H20,"yyyymmdd")&amp;"|1",$X$44:$X$67,0))&lt;&gt;""," • "&amp;INDEX($Q$44:$Q$67,MATCH(TEXT(H20,"yyyymmdd")&amp;"|1",$X$44:$X$67,0)),"")&amp;IF(INDEX($N$44:$N$67,MATCH(TEXT(H20,"yyyymmdd")&amp;"|1",$X$44:$X$67,0))&lt;&gt;""," — "&amp;INDEX($N$44:$N$67,MATCH(TEXT(H20,"yyyymmdd")&amp;"|1",$X$44:$X$67,0)),"")&amp;IF(AND(INDEX($S$44:$S$67,MATCH(TEXT(H20,"yyyymmdd")&amp;"|1",$X$44:$X$67,0))&lt;&gt;"",INDEX($S$44:$S$67,MATCH(TEXT(H20,"yyyymmdd")&amp;"|1",$X$44:$X$67,0))&lt;&gt;"Planned")," • "&amp;INDEX($S$44:$S$67,MATCH(TEXT(H20,"yyyymmdd")&amp;"|1",$X$44:$X$67,0)),""),"")</x:f>
        <x:v>[Close] Prior-month data cutoff and close kickoff • 9:00 AM — Accounting</x:v>
      </x:c>
      <x:c r="I21" s="58"/>
      <x:c r="J21" s="59"/>
      <x:c r="K21" s="60" t="str">
        <x:f t="array" ref="K21">IFERROR("["&amp;INDEX($D$44:$D$67,MATCH(TEXT(K20,"yyyymmdd")&amp;"|1",$X$44:$X$67,0))&amp;"] "&amp;INDEX($G$44:$G$67,MATCH(TEXT(K20,"yyyymmdd")&amp;"|1",$X$44:$X$67,0))&amp;IF(INDEX($Q$44:$Q$67,MATCH(TEXT(K20,"yyyymmdd")&amp;"|1",$X$44:$X$67,0))&lt;&gt;""," • "&amp;INDEX($Q$44:$Q$67,MATCH(TEXT(K20,"yyyymmdd")&amp;"|1",$X$44:$X$67,0)),"")&amp;IF(INDEX($N$44:$N$67,MATCH(TEXT(K20,"yyyymmdd")&amp;"|1",$X$44:$X$67,0))&lt;&gt;""," — "&amp;INDEX($N$44:$N$67,MATCH(TEXT(K20,"yyyymmdd")&amp;"|1",$X$44:$X$67,0)),"")&amp;IF(AND(INDEX($S$44:$S$67,MATCH(TEXT(K20,"yyyymmdd")&amp;"|1",$X$44:$X$67,0))&lt;&gt;"",INDEX($S$44:$S$67,MATCH(TEXT(K20,"yyyymmdd")&amp;"|1",$X$44:$X$67,0))&lt;&gt;"Planned")," • "&amp;INDEX($S$44:$S$67,MATCH(TEXT(K20,"yyyymmdd")&amp;"|1",$X$44:$X$67,0)),""),"")</x:f>
        <x:v>[Close] Prior-month data cutoff and close kickoff • 9:00 AM — Accounting</x:v>
      </x:c>
      <x:c r="L21" s="58"/>
      <x:c r="M21" s="59"/>
      <x:c r="N21" s="60" t="str">
        <x:f t="array" ref="N21">IFERROR("["&amp;INDEX($D$44:$D$67,MATCH(TEXT(N20,"yyyymmdd")&amp;"|1",$X$44:$X$67,0))&amp;"] "&amp;INDEX($G$44:$G$67,MATCH(TEXT(N20,"yyyymmdd")&amp;"|1",$X$44:$X$67,0))&amp;IF(INDEX($Q$44:$Q$67,MATCH(TEXT(N20,"yyyymmdd")&amp;"|1",$X$44:$X$67,0))&lt;&gt;""," • "&amp;INDEX($Q$44:$Q$67,MATCH(TEXT(N20,"yyyymmdd")&amp;"|1",$X$44:$X$67,0)),"")&amp;IF(INDEX($N$44:$N$67,MATCH(TEXT(N20,"yyyymmdd")&amp;"|1",$X$44:$X$67,0))&lt;&gt;""," — "&amp;INDEX($N$44:$N$67,MATCH(TEXT(N20,"yyyymmdd")&amp;"|1",$X$44:$X$67,0)),"")&amp;IF(AND(INDEX($S$44:$S$67,MATCH(TEXT(N20,"yyyymmdd")&amp;"|1",$X$44:$X$67,0))&lt;&gt;"",INDEX($S$44:$S$67,MATCH(TEXT(N20,"yyyymmdd")&amp;"|1",$X$44:$X$67,0))&lt;&gt;"Planned")," • "&amp;INDEX($S$44:$S$67,MATCH(TEXT(N20,"yyyymmdd")&amp;"|1",$X$44:$X$67,0)),""),"")</x:f>
        <x:v>[Close] Prior-month data cutoff and close kickoff • 9:00 AM — Accounting</x:v>
      </x:c>
      <x:c r="O21" s="58"/>
      <x:c r="P21" s="59"/>
      <x:c r="Q21" s="60" t="str">
        <x:f t="array" ref="Q21">IFERROR("["&amp;INDEX($D$44:$D$67,MATCH(TEXT(Q20,"yyyymmdd")&amp;"|1",$X$44:$X$67,0))&amp;"] "&amp;INDEX($G$44:$G$67,MATCH(TEXT(Q20,"yyyymmdd")&amp;"|1",$X$44:$X$67,0))&amp;IF(INDEX($Q$44:$Q$67,MATCH(TEXT(Q20,"yyyymmdd")&amp;"|1",$X$44:$X$67,0))&lt;&gt;""," • "&amp;INDEX($Q$44:$Q$67,MATCH(TEXT(Q20,"yyyymmdd")&amp;"|1",$X$44:$X$67,0)),"")&amp;IF(INDEX($N$44:$N$67,MATCH(TEXT(Q20,"yyyymmdd")&amp;"|1",$X$44:$X$67,0))&lt;&gt;""," — "&amp;INDEX($N$44:$N$67,MATCH(TEXT(Q20,"yyyymmdd")&amp;"|1",$X$44:$X$67,0)),"")&amp;IF(AND(INDEX($S$44:$S$67,MATCH(TEXT(Q20,"yyyymmdd")&amp;"|1",$X$44:$X$67,0))&lt;&gt;"",INDEX($S$44:$S$67,MATCH(TEXT(Q20,"yyyymmdd")&amp;"|1",$X$44:$X$67,0))&lt;&gt;"Planned")," • "&amp;INDEX($S$44:$S$67,MATCH(TEXT(Q20,"yyyymmdd")&amp;"|1",$X$44:$X$67,0)),""),"")</x:f>
        <x:v>[Close] Prior-month data cutoff and close kickoff • 9:00 AM — Accounting</x:v>
      </x:c>
      <x:c r="R21" s="58"/>
      <x:c r="S21" s="59"/>
      <x:c r="T21" s="57" t="str">
        <x:f t="array" ref="T21">IFERROR("["&amp;INDEX($D$44:$D$67,MATCH(TEXT(T20,"yyyymmdd")&amp;"|1",$X$44:$X$67,0))&amp;"] "&amp;INDEX($G$44:$G$67,MATCH(TEXT(T20,"yyyymmdd")&amp;"|1",$X$44:$X$67,0))&amp;IF(INDEX($Q$44:$Q$67,MATCH(TEXT(T20,"yyyymmdd")&amp;"|1",$X$44:$X$67,0))&lt;&gt;""," • "&amp;INDEX($Q$44:$Q$67,MATCH(TEXT(T20,"yyyymmdd")&amp;"|1",$X$44:$X$67,0)),"")&amp;IF(INDEX($N$44:$N$67,MATCH(TEXT(T20,"yyyymmdd")&amp;"|1",$X$44:$X$67,0))&lt;&gt;""," — "&amp;INDEX($N$44:$N$67,MATCH(TEXT(T20,"yyyymmdd")&amp;"|1",$X$44:$X$67,0)),"")&amp;IF(AND(INDEX($S$44:$S$67,MATCH(TEXT(T20,"yyyymmdd")&amp;"|1",$X$44:$X$67,0))&lt;&gt;"",INDEX($S$44:$S$67,MATCH(TEXT(T20,"yyyymmdd")&amp;"|1",$X$44:$X$67,0))&lt;&gt;"Planned")," • "&amp;INDEX($S$44:$S$67,MATCH(TEXT(T20,"yyyymmdd")&amp;"|1",$X$44:$X$67,0)),""),"")</x:f>
        <x:v>[Close] Prior-month data cutoff and close kickoff • 9:00 AM — Accounting</x:v>
      </x:c>
      <x:c r="U21" s="58"/>
      <x:c r="V21" s="59"/>
      <x:c r="W21" s="24"/>
      <x:c r="X21" s="24"/>
    </x:row>
    <x:row r="22" ht="16.5" customHeight="1">
      <x:c r="B22" s="57" t="str">
        <x:f t="array" ref="B22">IFERROR("["&amp;INDEX($D$44:$D$67,MATCH(TEXT(B20,"yyyymmdd")&amp;"|2",$X$44:$X$67,0))&amp;"] "&amp;INDEX($G$44:$G$67,MATCH(TEXT(B20,"yyyymmdd")&amp;"|2",$X$44:$X$67,0))&amp;IF(INDEX($Q$44:$Q$67,MATCH(TEXT(B20,"yyyymmdd")&amp;"|2",$X$44:$X$67,0))&lt;&gt;""," • "&amp;INDEX($Q$44:$Q$67,MATCH(TEXT(B20,"yyyymmdd")&amp;"|2",$X$44:$X$67,0)),"")&amp;IF(INDEX($N$44:$N$67,MATCH(TEXT(B20,"yyyymmdd")&amp;"|2",$X$44:$X$67,0))&lt;&gt;""," — "&amp;INDEX($N$44:$N$67,MATCH(TEXT(B20,"yyyymmdd")&amp;"|2",$X$44:$X$67,0)),"")&amp;IF(AND(INDEX($S$44:$S$67,MATCH(TEXT(B20,"yyyymmdd")&amp;"|2",$X$44:$X$67,0))&lt;&gt;"",INDEX($S$44:$S$67,MATCH(TEXT(B20,"yyyymmdd")&amp;"|2",$X$44:$X$67,0))&lt;&gt;"Planned")," • "&amp;INDEX($S$44:$S$67,MATCH(TEXT(B20,"yyyymmdd")&amp;"|2",$X$44:$X$67,0)),""),"")</x:f>
      </x:c>
      <x:c r="C22" s="58"/>
      <x:c r="D22" s="59"/>
      <x:c r="E22" s="60" t="str">
        <x:f t="array" ref="E22">IFERROR("["&amp;INDEX($D$44:$D$67,MATCH(TEXT(E20,"yyyymmdd")&amp;"|2",$X$44:$X$67,0))&amp;"] "&amp;INDEX($G$44:$G$67,MATCH(TEXT(E20,"yyyymmdd")&amp;"|2",$X$44:$X$67,0))&amp;IF(INDEX($Q$44:$Q$67,MATCH(TEXT(E20,"yyyymmdd")&amp;"|2",$X$44:$X$67,0))&lt;&gt;""," • "&amp;INDEX($Q$44:$Q$67,MATCH(TEXT(E20,"yyyymmdd")&amp;"|2",$X$44:$X$67,0)),"")&amp;IF(INDEX($N$44:$N$67,MATCH(TEXT(E20,"yyyymmdd")&amp;"|2",$X$44:$X$67,0))&lt;&gt;""," — "&amp;INDEX($N$44:$N$67,MATCH(TEXT(E20,"yyyymmdd")&amp;"|2",$X$44:$X$67,0)),"")&amp;IF(AND(INDEX($S$44:$S$67,MATCH(TEXT(E20,"yyyymmdd")&amp;"|2",$X$44:$X$67,0))&lt;&gt;"",INDEX($S$44:$S$67,MATCH(TEXT(E20,"yyyymmdd")&amp;"|2",$X$44:$X$67,0))&lt;&gt;"Planned")," • "&amp;INDEX($S$44:$S$67,MATCH(TEXT(E20,"yyyymmdd")&amp;"|2",$X$44:$X$67,0)),""),"")</x:f>
        <x:v>[Review] Forecast challenge session • 2:00 PM — Finance Leadership</x:v>
      </x:c>
      <x:c r="F22" s="58"/>
      <x:c r="G22" s="59"/>
      <x:c r="H22" s="60" t="str">
        <x:f t="array" ref="H22">IFERROR("["&amp;INDEX($D$44:$D$67,MATCH(TEXT(H20,"yyyymmdd")&amp;"|2",$X$44:$X$67,0))&amp;"] "&amp;INDEX($G$44:$G$67,MATCH(TEXT(H20,"yyyymmdd")&amp;"|2",$X$44:$X$67,0))&amp;IF(INDEX($Q$44:$Q$67,MATCH(TEXT(H20,"yyyymmdd")&amp;"|2",$X$44:$X$67,0))&lt;&gt;""," • "&amp;INDEX($Q$44:$Q$67,MATCH(TEXT(H20,"yyyymmdd")&amp;"|2",$X$44:$X$67,0)),"")&amp;IF(INDEX($N$44:$N$67,MATCH(TEXT(H20,"yyyymmdd")&amp;"|2",$X$44:$X$67,0))&lt;&gt;""," — "&amp;INDEX($N$44:$N$67,MATCH(TEXT(H20,"yyyymmdd")&amp;"|2",$X$44:$X$67,0)),"")&amp;IF(AND(INDEX($S$44:$S$67,MATCH(TEXT(H20,"yyyymmdd")&amp;"|2",$X$44:$X$67,0))&lt;&gt;"",INDEX($S$44:$S$67,MATCH(TEXT(H20,"yyyymmdd")&amp;"|2",$X$44:$X$67,0))&lt;&gt;"Planned")," • "&amp;INDEX($S$44:$S$67,MATCH(TEXT(H20,"yyyymmdd")&amp;"|2",$X$44:$X$67,0)),""),"")</x:f>
      </x:c>
      <x:c r="I22" s="58"/>
      <x:c r="J22" s="59"/>
      <x:c r="K22" s="60" t="str">
        <x:f t="array" ref="K22">IFERROR("["&amp;INDEX($D$44:$D$67,MATCH(TEXT(K20,"yyyymmdd")&amp;"|2",$X$44:$X$67,0))&amp;"] "&amp;INDEX($G$44:$G$67,MATCH(TEXT(K20,"yyyymmdd")&amp;"|2",$X$44:$X$67,0))&amp;IF(INDEX($Q$44:$Q$67,MATCH(TEXT(K20,"yyyymmdd")&amp;"|2",$X$44:$X$67,0))&lt;&gt;""," • "&amp;INDEX($Q$44:$Q$67,MATCH(TEXT(K20,"yyyymmdd")&amp;"|2",$X$44:$X$67,0)),"")&amp;IF(INDEX($N$44:$N$67,MATCH(TEXT(K20,"yyyymmdd")&amp;"|2",$X$44:$X$67,0))&lt;&gt;""," — "&amp;INDEX($N$44:$N$67,MATCH(TEXT(K20,"yyyymmdd")&amp;"|2",$X$44:$X$67,0)),"")&amp;IF(AND(INDEX($S$44:$S$67,MATCH(TEXT(K20,"yyyymmdd")&amp;"|2",$X$44:$X$67,0))&lt;&gt;"",INDEX($S$44:$S$67,MATCH(TEXT(K20,"yyyymmdd")&amp;"|2",$X$44:$X$67,0))&lt;&gt;"Planned")," • "&amp;INDEX($S$44:$S$67,MATCH(TEXT(K20,"yyyymmdd")&amp;"|2",$X$44:$X$67,0)),""),"")</x:f>
      </x:c>
      <x:c r="L22" s="58"/>
      <x:c r="M22" s="59"/>
      <x:c r="N22" s="60" t="str">
        <x:f t="array" ref="N22">IFERROR("["&amp;INDEX($D$44:$D$67,MATCH(TEXT(N20,"yyyymmdd")&amp;"|2",$X$44:$X$67,0))&amp;"] "&amp;INDEX($G$44:$G$67,MATCH(TEXT(N20,"yyyymmdd")&amp;"|2",$X$44:$X$67,0))&amp;IF(INDEX($Q$44:$Q$67,MATCH(TEXT(N20,"yyyymmdd")&amp;"|2",$X$44:$X$67,0))&lt;&gt;""," • "&amp;INDEX($Q$44:$Q$67,MATCH(TEXT(N20,"yyyymmdd")&amp;"|2",$X$44:$X$67,0)),"")&amp;IF(INDEX($N$44:$N$67,MATCH(TEXT(N20,"yyyymmdd")&amp;"|2",$X$44:$X$67,0))&lt;&gt;""," — "&amp;INDEX($N$44:$N$67,MATCH(TEXT(N20,"yyyymmdd")&amp;"|2",$X$44:$X$67,0)),"")&amp;IF(AND(INDEX($S$44:$S$67,MATCH(TEXT(N20,"yyyymmdd")&amp;"|2",$X$44:$X$67,0))&lt;&gt;"",INDEX($S$44:$S$67,MATCH(TEXT(N20,"yyyymmdd")&amp;"|2",$X$44:$X$67,0))&lt;&gt;"Planned")," • "&amp;INDEX($S$44:$S$67,MATCH(TEXT(N20,"yyyymmdd")&amp;"|2",$X$44:$X$67,0)),""),"")</x:f>
        <x:v>[Reporting] Management reporting draft • 5:00 PM — FP&amp;A</x:v>
      </x:c>
      <x:c r="O22" s="58"/>
      <x:c r="P22" s="59"/>
      <x:c r="Q22" s="60" t="str">
        <x:f t="array" ref="Q22">IFERROR("["&amp;INDEX($D$44:$D$67,MATCH(TEXT(Q20,"yyyymmdd")&amp;"|2",$X$44:$X$67,0))&amp;"] "&amp;INDEX($G$44:$G$67,MATCH(TEXT(Q20,"yyyymmdd")&amp;"|2",$X$44:$X$67,0))&amp;IF(INDEX($Q$44:$Q$67,MATCH(TEXT(Q20,"yyyymmdd")&amp;"|2",$X$44:$X$67,0))&lt;&gt;""," • "&amp;INDEX($Q$44:$Q$67,MATCH(TEXT(Q20,"yyyymmdd")&amp;"|2",$X$44:$X$67,0)),"")&amp;IF(INDEX($N$44:$N$67,MATCH(TEXT(Q20,"yyyymmdd")&amp;"|2",$X$44:$X$67,0))&lt;&gt;""," — "&amp;INDEX($N$44:$N$67,MATCH(TEXT(Q20,"yyyymmdd")&amp;"|2",$X$44:$X$67,0)),"")&amp;IF(AND(INDEX($S$44:$S$67,MATCH(TEXT(Q20,"yyyymmdd")&amp;"|2",$X$44:$X$67,0))&lt;&gt;"",INDEX($S$44:$S$67,MATCH(TEXT(Q20,"yyyymmdd")&amp;"|2",$X$44:$X$67,0))&lt;&gt;"Planned")," • "&amp;INDEX($S$44:$S$67,MATCH(TEXT(Q20,"yyyymmdd")&amp;"|2",$X$44:$X$67,0)),""),"")</x:f>
      </x:c>
      <x:c r="R22" s="58"/>
      <x:c r="S22" s="59"/>
      <x:c r="T22" s="57" t="str">
        <x:f t="array" ref="T22">IFERROR("["&amp;INDEX($D$44:$D$67,MATCH(TEXT(T20,"yyyymmdd")&amp;"|2",$X$44:$X$67,0))&amp;"] "&amp;INDEX($G$44:$G$67,MATCH(TEXT(T20,"yyyymmdd")&amp;"|2",$X$44:$X$67,0))&amp;IF(INDEX($Q$44:$Q$67,MATCH(TEXT(T20,"yyyymmdd")&amp;"|2",$X$44:$X$67,0))&lt;&gt;""," • "&amp;INDEX($Q$44:$Q$67,MATCH(TEXT(T20,"yyyymmdd")&amp;"|2",$X$44:$X$67,0)),"")&amp;IF(INDEX($N$44:$N$67,MATCH(TEXT(T20,"yyyymmdd")&amp;"|2",$X$44:$X$67,0))&lt;&gt;""," — "&amp;INDEX($N$44:$N$67,MATCH(TEXT(T20,"yyyymmdd")&amp;"|2",$X$44:$X$67,0)),"")&amp;IF(AND(INDEX($S$44:$S$67,MATCH(TEXT(T20,"yyyymmdd")&amp;"|2",$X$44:$X$67,0))&lt;&gt;"",INDEX($S$44:$S$67,MATCH(TEXT(T20,"yyyymmdd")&amp;"|2",$X$44:$X$67,0))&lt;&gt;"Planned")," • "&amp;INDEX($S$44:$S$67,MATCH(TEXT(T20,"yyyymmdd")&amp;"|2",$X$44:$X$67,0)),""),"")</x:f>
        <x:v>[Reporting] KPI commentary due • 3:00 PM — Metric Owners</x:v>
      </x:c>
      <x:c r="U22" s="58"/>
      <x:c r="V22" s="59"/>
      <x:c r="W22" s="24"/>
      <x:c r="X22" s="24"/>
    </x:row>
    <x:row r="23" ht="16.5" customHeight="1">
      <x:c r="B23" s="57" t="str">
        <x:f t="array" ref="B23">IFERROR("["&amp;INDEX($D$44:$D$67,MATCH(TEXT(B20,"yyyymmdd")&amp;"|3",$X$44:$X$67,0))&amp;"] "&amp;INDEX($G$44:$G$67,MATCH(TEXT(B20,"yyyymmdd")&amp;"|3",$X$44:$X$67,0))&amp;IF(INDEX($Q$44:$Q$67,MATCH(TEXT(B20,"yyyymmdd")&amp;"|3",$X$44:$X$67,0))&lt;&gt;""," • "&amp;INDEX($Q$44:$Q$67,MATCH(TEXT(B20,"yyyymmdd")&amp;"|3",$X$44:$X$67,0)),"")&amp;IF(INDEX($N$44:$N$67,MATCH(TEXT(B20,"yyyymmdd")&amp;"|3",$X$44:$X$67,0))&lt;&gt;""," — "&amp;INDEX($N$44:$N$67,MATCH(TEXT(B20,"yyyymmdd")&amp;"|3",$X$44:$X$67,0)),"")&amp;IF(AND(INDEX($S$44:$S$67,MATCH(TEXT(B20,"yyyymmdd")&amp;"|3",$X$44:$X$67,0))&lt;&gt;"",INDEX($S$44:$S$67,MATCH(TEXT(B20,"yyyymmdd")&amp;"|3",$X$44:$X$67,0))&lt;&gt;"Planned")," • "&amp;INDEX($S$44:$S$67,MATCH(TEXT(B20,"yyyymmdd")&amp;"|3",$X$44:$X$67,0)),""),"")</x:f>
      </x:c>
      <x:c r="C23" s="58"/>
      <x:c r="D23" s="59"/>
      <x:c r="E23" s="60" t="str">
        <x:f t="array" ref="E23">IFERROR("["&amp;INDEX($D$44:$D$67,MATCH(TEXT(E20,"yyyymmdd")&amp;"|3",$X$44:$X$67,0))&amp;"] "&amp;INDEX($G$44:$G$67,MATCH(TEXT(E20,"yyyymmdd")&amp;"|3",$X$44:$X$67,0))&amp;IF(INDEX($Q$44:$Q$67,MATCH(TEXT(E20,"yyyymmdd")&amp;"|3",$X$44:$X$67,0))&lt;&gt;""," • "&amp;INDEX($Q$44:$Q$67,MATCH(TEXT(E20,"yyyymmdd")&amp;"|3",$X$44:$X$67,0)),"")&amp;IF(INDEX($N$44:$N$67,MATCH(TEXT(E20,"yyyymmdd")&amp;"|3",$X$44:$X$67,0))&lt;&gt;""," — "&amp;INDEX($N$44:$N$67,MATCH(TEXT(E20,"yyyymmdd")&amp;"|3",$X$44:$X$67,0)),"")&amp;IF(AND(INDEX($S$44:$S$67,MATCH(TEXT(E20,"yyyymmdd")&amp;"|3",$X$44:$X$67,0))&lt;&gt;"",INDEX($S$44:$S$67,MATCH(TEXT(E20,"yyyymmdd")&amp;"|3",$X$44:$X$67,0))&lt;&gt;"Planned")," • "&amp;INDEX($S$44:$S$67,MATCH(TEXT(E20,"yyyymmdd")&amp;"|3",$X$44:$X$67,0)),""),"")</x:f>
        <x:v>[Review] Forecast challenge session • 2:00 PM — Finance Leadership</x:v>
      </x:c>
      <x:c r="F23" s="58"/>
      <x:c r="G23" s="59"/>
      <x:c r="H23" s="60" t="str">
        <x:f t="array" ref="H23">IFERROR("["&amp;INDEX($D$44:$D$67,MATCH(TEXT(H20,"yyyymmdd")&amp;"|3",$X$44:$X$67,0))&amp;"] "&amp;INDEX($G$44:$G$67,MATCH(TEXT(H20,"yyyymmdd")&amp;"|3",$X$44:$X$67,0))&amp;IF(INDEX($Q$44:$Q$67,MATCH(TEXT(H20,"yyyymmdd")&amp;"|3",$X$44:$X$67,0))&lt;&gt;""," • "&amp;INDEX($Q$44:$Q$67,MATCH(TEXT(H20,"yyyymmdd")&amp;"|3",$X$44:$X$67,0)),"")&amp;IF(INDEX($N$44:$N$67,MATCH(TEXT(H20,"yyyymmdd")&amp;"|3",$X$44:$X$67,0))&lt;&gt;""," — "&amp;INDEX($N$44:$N$67,MATCH(TEXT(H20,"yyyymmdd")&amp;"|3",$X$44:$X$67,0)),"")&amp;IF(AND(INDEX($S$44:$S$67,MATCH(TEXT(H20,"yyyymmdd")&amp;"|3",$X$44:$X$67,0))&lt;&gt;"",INDEX($S$44:$S$67,MATCH(TEXT(H20,"yyyymmdd")&amp;"|3",$X$44:$X$67,0))&lt;&gt;"Planned")," • "&amp;INDEX($S$44:$S$67,MATCH(TEXT(H20,"yyyymmdd")&amp;"|3",$X$44:$X$67,0)),""),"")</x:f>
      </x:c>
      <x:c r="I23" s="58"/>
      <x:c r="J23" s="59"/>
      <x:c r="K23" s="60" t="str">
        <x:f t="array" ref="K23">IFERROR("["&amp;INDEX($D$44:$D$67,MATCH(TEXT(K20,"yyyymmdd")&amp;"|3",$X$44:$X$67,0))&amp;"] "&amp;INDEX($G$44:$G$67,MATCH(TEXT(K20,"yyyymmdd")&amp;"|3",$X$44:$X$67,0))&amp;IF(INDEX($Q$44:$Q$67,MATCH(TEXT(K20,"yyyymmdd")&amp;"|3",$X$44:$X$67,0))&lt;&gt;""," • "&amp;INDEX($Q$44:$Q$67,MATCH(TEXT(K20,"yyyymmdd")&amp;"|3",$X$44:$X$67,0)),"")&amp;IF(INDEX($N$44:$N$67,MATCH(TEXT(K20,"yyyymmdd")&amp;"|3",$X$44:$X$67,0))&lt;&gt;""," — "&amp;INDEX($N$44:$N$67,MATCH(TEXT(K20,"yyyymmdd")&amp;"|3",$X$44:$X$67,0)),"")&amp;IF(AND(INDEX($S$44:$S$67,MATCH(TEXT(K20,"yyyymmdd")&amp;"|3",$X$44:$X$67,0))&lt;&gt;"",INDEX($S$44:$S$67,MATCH(TEXT(K20,"yyyymmdd")&amp;"|3",$X$44:$X$67,0))&lt;&gt;"Planned")," • "&amp;INDEX($S$44:$S$67,MATCH(TEXT(K20,"yyyymmdd")&amp;"|3",$X$44:$X$67,0)),""),"")</x:f>
      </x:c>
      <x:c r="L23" s="58"/>
      <x:c r="M23" s="59"/>
      <x:c r="N23" s="60" t="str">
        <x:f t="array" ref="N23">IFERROR("["&amp;INDEX($D$44:$D$67,MATCH(TEXT(N20,"yyyymmdd")&amp;"|3",$X$44:$X$67,0))&amp;"] "&amp;INDEX($G$44:$G$67,MATCH(TEXT(N20,"yyyymmdd")&amp;"|3",$X$44:$X$67,0))&amp;IF(INDEX($Q$44:$Q$67,MATCH(TEXT(N20,"yyyymmdd")&amp;"|3",$X$44:$X$67,0))&lt;&gt;""," • "&amp;INDEX($Q$44:$Q$67,MATCH(TEXT(N20,"yyyymmdd")&amp;"|3",$X$44:$X$67,0)),"")&amp;IF(INDEX($N$44:$N$67,MATCH(TEXT(N20,"yyyymmdd")&amp;"|3",$X$44:$X$67,0))&lt;&gt;""," — "&amp;INDEX($N$44:$N$67,MATCH(TEXT(N20,"yyyymmdd")&amp;"|3",$X$44:$X$67,0)),"")&amp;IF(AND(INDEX($S$44:$S$67,MATCH(TEXT(N20,"yyyymmdd")&amp;"|3",$X$44:$X$67,0))&lt;&gt;"",INDEX($S$44:$S$67,MATCH(TEXT(N20,"yyyymmdd")&amp;"|3",$X$44:$X$67,0))&lt;&gt;"Planned")," • "&amp;INDEX($S$44:$S$67,MATCH(TEXT(N20,"yyyymmdd")&amp;"|3",$X$44:$X$67,0)),""),"")</x:f>
        <x:v>[Reporting] Management reporting draft • 5:00 PM — FP&amp;A</x:v>
      </x:c>
      <x:c r="O23" s="58"/>
      <x:c r="P23" s="59"/>
      <x:c r="Q23" s="60" t="str">
        <x:f t="array" ref="Q23">IFERROR("["&amp;INDEX($D$44:$D$67,MATCH(TEXT(Q20,"yyyymmdd")&amp;"|3",$X$44:$X$67,0))&amp;"] "&amp;INDEX($G$44:$G$67,MATCH(TEXT(Q20,"yyyymmdd")&amp;"|3",$X$44:$X$67,0))&amp;IF(INDEX($Q$44:$Q$67,MATCH(TEXT(Q20,"yyyymmdd")&amp;"|3",$X$44:$X$67,0))&lt;&gt;""," • "&amp;INDEX($Q$44:$Q$67,MATCH(TEXT(Q20,"yyyymmdd")&amp;"|3",$X$44:$X$67,0)),"")&amp;IF(INDEX($N$44:$N$67,MATCH(TEXT(Q20,"yyyymmdd")&amp;"|3",$X$44:$X$67,0))&lt;&gt;""," — "&amp;INDEX($N$44:$N$67,MATCH(TEXT(Q20,"yyyymmdd")&amp;"|3",$X$44:$X$67,0)),"")&amp;IF(AND(INDEX($S$44:$S$67,MATCH(TEXT(Q20,"yyyymmdd")&amp;"|3",$X$44:$X$67,0))&lt;&gt;"",INDEX($S$44:$S$67,MATCH(TEXT(Q20,"yyyymmdd")&amp;"|3",$X$44:$X$67,0))&lt;&gt;"Planned")," • "&amp;INDEX($S$44:$S$67,MATCH(TEXT(Q20,"yyyymmdd")&amp;"|3",$X$44:$X$67,0)),""),"")</x:f>
      </x:c>
      <x:c r="R23" s="58"/>
      <x:c r="S23" s="59"/>
      <x:c r="T23" s="57" t="str">
        <x:f t="array" ref="T23">IFERROR("["&amp;INDEX($D$44:$D$67,MATCH(TEXT(T20,"yyyymmdd")&amp;"|3",$X$44:$X$67,0))&amp;"] "&amp;INDEX($G$44:$G$67,MATCH(TEXT(T20,"yyyymmdd")&amp;"|3",$X$44:$X$67,0))&amp;IF(INDEX($Q$44:$Q$67,MATCH(TEXT(T20,"yyyymmdd")&amp;"|3",$X$44:$X$67,0))&lt;&gt;""," • "&amp;INDEX($Q$44:$Q$67,MATCH(TEXT(T20,"yyyymmdd")&amp;"|3",$X$44:$X$67,0)),"")&amp;IF(INDEX($N$44:$N$67,MATCH(TEXT(T20,"yyyymmdd")&amp;"|3",$X$44:$X$67,0))&lt;&gt;""," — "&amp;INDEX($N$44:$N$67,MATCH(TEXT(T20,"yyyymmdd")&amp;"|3",$X$44:$X$67,0)),"")&amp;IF(AND(INDEX($S$44:$S$67,MATCH(TEXT(T20,"yyyymmdd")&amp;"|3",$X$44:$X$67,0))&lt;&gt;"",INDEX($S$44:$S$67,MATCH(TEXT(T20,"yyyymmdd")&amp;"|3",$X$44:$X$67,0))&lt;&gt;"Planned")," • "&amp;INDEX($S$44:$S$67,MATCH(TEXT(T20,"yyyymmdd")&amp;"|3",$X$44:$X$67,0)),""),"")</x:f>
        <x:v>[Reporting] KPI commentary due • 3:00 PM — Metric Owners</x:v>
      </x:c>
      <x:c r="U23" s="58"/>
      <x:c r="V23" s="59"/>
      <x:c r="W23" s="24"/>
      <x:c r="X23" s="24"/>
    </x:row>
    <x:row r="24" ht="16.5" customHeight="1">
      <x:c r="B24" s="57" t="str">
        <x:f t="array" ref="B24">IFERROR("["&amp;INDEX($D$44:$D$67,MATCH(TEXT(B20,"yyyymmdd")&amp;"|4",$X$44:$X$67,0))&amp;"] "&amp;INDEX($G$44:$G$67,MATCH(TEXT(B20,"yyyymmdd")&amp;"|4",$X$44:$X$67,0))&amp;IF(INDEX($Q$44:$Q$67,MATCH(TEXT(B20,"yyyymmdd")&amp;"|4",$X$44:$X$67,0))&lt;&gt;""," • "&amp;INDEX($Q$44:$Q$67,MATCH(TEXT(B20,"yyyymmdd")&amp;"|4",$X$44:$X$67,0)),"")&amp;IF(INDEX($N$44:$N$67,MATCH(TEXT(B20,"yyyymmdd")&amp;"|4",$X$44:$X$67,0))&lt;&gt;""," — "&amp;INDEX($N$44:$N$67,MATCH(TEXT(B20,"yyyymmdd")&amp;"|4",$X$44:$X$67,0)),"")&amp;IF(AND(INDEX($S$44:$S$67,MATCH(TEXT(B20,"yyyymmdd")&amp;"|4",$X$44:$X$67,0))&lt;&gt;"",INDEX($S$44:$S$67,MATCH(TEXT(B20,"yyyymmdd")&amp;"|4",$X$44:$X$67,0))&lt;&gt;"Planned")," • "&amp;INDEX($S$44:$S$67,MATCH(TEXT(B20,"yyyymmdd")&amp;"|4",$X$44:$X$67,0)),""),"")</x:f>
      </x:c>
      <x:c r="C24" s="58"/>
      <x:c r="D24" s="59"/>
      <x:c r="E24" s="60" t="str">
        <x:f t="array" ref="E24">IFERROR("["&amp;INDEX($D$44:$D$67,MATCH(TEXT(E20,"yyyymmdd")&amp;"|4",$X$44:$X$67,0))&amp;"] "&amp;INDEX($G$44:$G$67,MATCH(TEXT(E20,"yyyymmdd")&amp;"|4",$X$44:$X$67,0))&amp;IF(INDEX($Q$44:$Q$67,MATCH(TEXT(E20,"yyyymmdd")&amp;"|4",$X$44:$X$67,0))&lt;&gt;""," • "&amp;INDEX($Q$44:$Q$67,MATCH(TEXT(E20,"yyyymmdd")&amp;"|4",$X$44:$X$67,0)),"")&amp;IF(INDEX($N$44:$N$67,MATCH(TEXT(E20,"yyyymmdd")&amp;"|4",$X$44:$X$67,0))&lt;&gt;""," — "&amp;INDEX($N$44:$N$67,MATCH(TEXT(E20,"yyyymmdd")&amp;"|4",$X$44:$X$67,0)),"")&amp;IF(AND(INDEX($S$44:$S$67,MATCH(TEXT(E20,"yyyymmdd")&amp;"|4",$X$44:$X$67,0))&lt;&gt;"",INDEX($S$44:$S$67,MATCH(TEXT(E20,"yyyymmdd")&amp;"|4",$X$44:$X$67,0))&lt;&gt;"Planned")," • "&amp;INDEX($S$44:$S$67,MATCH(TEXT(E20,"yyyymmdd")&amp;"|4",$X$44:$X$67,0)),""),"")</x:f>
        <x:v>[Review] Forecast challenge session • 2:00 PM — Finance Leadership</x:v>
      </x:c>
      <x:c r="F24" s="58"/>
      <x:c r="G24" s="59"/>
      <x:c r="H24" s="60" t="str">
        <x:f t="array" ref="H24">IFERROR("["&amp;INDEX($D$44:$D$67,MATCH(TEXT(H20,"yyyymmdd")&amp;"|4",$X$44:$X$67,0))&amp;"] "&amp;INDEX($G$44:$G$67,MATCH(TEXT(H20,"yyyymmdd")&amp;"|4",$X$44:$X$67,0))&amp;IF(INDEX($Q$44:$Q$67,MATCH(TEXT(H20,"yyyymmdd")&amp;"|4",$X$44:$X$67,0))&lt;&gt;""," • "&amp;INDEX($Q$44:$Q$67,MATCH(TEXT(H20,"yyyymmdd")&amp;"|4",$X$44:$X$67,0)),"")&amp;IF(INDEX($N$44:$N$67,MATCH(TEXT(H20,"yyyymmdd")&amp;"|4",$X$44:$X$67,0))&lt;&gt;""," — "&amp;INDEX($N$44:$N$67,MATCH(TEXT(H20,"yyyymmdd")&amp;"|4",$X$44:$X$67,0)),"")&amp;IF(AND(INDEX($S$44:$S$67,MATCH(TEXT(H20,"yyyymmdd")&amp;"|4",$X$44:$X$67,0))&lt;&gt;"",INDEX($S$44:$S$67,MATCH(TEXT(H20,"yyyymmdd")&amp;"|4",$X$44:$X$67,0))&lt;&gt;"Planned")," • "&amp;INDEX($S$44:$S$67,MATCH(TEXT(H20,"yyyymmdd")&amp;"|4",$X$44:$X$67,0)),""),"")</x:f>
      </x:c>
      <x:c r="I24" s="58"/>
      <x:c r="J24" s="59"/>
      <x:c r="K24" s="60" t="str">
        <x:f t="array" ref="K24">IFERROR("["&amp;INDEX($D$44:$D$67,MATCH(TEXT(K20,"yyyymmdd")&amp;"|4",$X$44:$X$67,0))&amp;"] "&amp;INDEX($G$44:$G$67,MATCH(TEXT(K20,"yyyymmdd")&amp;"|4",$X$44:$X$67,0))&amp;IF(INDEX($Q$44:$Q$67,MATCH(TEXT(K20,"yyyymmdd")&amp;"|4",$X$44:$X$67,0))&lt;&gt;""," • "&amp;INDEX($Q$44:$Q$67,MATCH(TEXT(K20,"yyyymmdd")&amp;"|4",$X$44:$X$67,0)),"")&amp;IF(INDEX($N$44:$N$67,MATCH(TEXT(K20,"yyyymmdd")&amp;"|4",$X$44:$X$67,0))&lt;&gt;""," — "&amp;INDEX($N$44:$N$67,MATCH(TEXT(K20,"yyyymmdd")&amp;"|4",$X$44:$X$67,0)),"")&amp;IF(AND(INDEX($S$44:$S$67,MATCH(TEXT(K20,"yyyymmdd")&amp;"|4",$X$44:$X$67,0))&lt;&gt;"",INDEX($S$44:$S$67,MATCH(TEXT(K20,"yyyymmdd")&amp;"|4",$X$44:$X$67,0))&lt;&gt;"Planned")," • "&amp;INDEX($S$44:$S$67,MATCH(TEXT(K20,"yyyymmdd")&amp;"|4",$X$44:$X$67,0)),""),"")</x:f>
      </x:c>
      <x:c r="L24" s="58"/>
      <x:c r="M24" s="59"/>
      <x:c r="N24" s="60" t="str">
        <x:f t="array" ref="N24">IFERROR("["&amp;INDEX($D$44:$D$67,MATCH(TEXT(N20,"yyyymmdd")&amp;"|4",$X$44:$X$67,0))&amp;"] "&amp;INDEX($G$44:$G$67,MATCH(TEXT(N20,"yyyymmdd")&amp;"|4",$X$44:$X$67,0))&amp;IF(INDEX($Q$44:$Q$67,MATCH(TEXT(N20,"yyyymmdd")&amp;"|4",$X$44:$X$67,0))&lt;&gt;""," • "&amp;INDEX($Q$44:$Q$67,MATCH(TEXT(N20,"yyyymmdd")&amp;"|4",$X$44:$X$67,0)),"")&amp;IF(INDEX($N$44:$N$67,MATCH(TEXT(N20,"yyyymmdd")&amp;"|4",$X$44:$X$67,0))&lt;&gt;""," — "&amp;INDEX($N$44:$N$67,MATCH(TEXT(N20,"yyyymmdd")&amp;"|4",$X$44:$X$67,0)),"")&amp;IF(AND(INDEX($S$44:$S$67,MATCH(TEXT(N20,"yyyymmdd")&amp;"|4",$X$44:$X$67,0))&lt;&gt;"",INDEX($S$44:$S$67,MATCH(TEXT(N20,"yyyymmdd")&amp;"|4",$X$44:$X$67,0))&lt;&gt;"Planned")," • "&amp;INDEX($S$44:$S$67,MATCH(TEXT(N20,"yyyymmdd")&amp;"|4",$X$44:$X$67,0)),""),"")</x:f>
        <x:v>[Reporting] Management reporting draft • 5:00 PM — FP&amp;A</x:v>
      </x:c>
      <x:c r="O24" s="58"/>
      <x:c r="P24" s="59"/>
      <x:c r="Q24" s="60" t="str">
        <x:f t="array" ref="Q24">IFERROR("["&amp;INDEX($D$44:$D$67,MATCH(TEXT(Q20,"yyyymmdd")&amp;"|4",$X$44:$X$67,0))&amp;"] "&amp;INDEX($G$44:$G$67,MATCH(TEXT(Q20,"yyyymmdd")&amp;"|4",$X$44:$X$67,0))&amp;IF(INDEX($Q$44:$Q$67,MATCH(TEXT(Q20,"yyyymmdd")&amp;"|4",$X$44:$X$67,0))&lt;&gt;""," • "&amp;INDEX($Q$44:$Q$67,MATCH(TEXT(Q20,"yyyymmdd")&amp;"|4",$X$44:$X$67,0)),"")&amp;IF(INDEX($N$44:$N$67,MATCH(TEXT(Q20,"yyyymmdd")&amp;"|4",$X$44:$X$67,0))&lt;&gt;""," — "&amp;INDEX($N$44:$N$67,MATCH(TEXT(Q20,"yyyymmdd")&amp;"|4",$X$44:$X$67,0)),"")&amp;IF(AND(INDEX($S$44:$S$67,MATCH(TEXT(Q20,"yyyymmdd")&amp;"|4",$X$44:$X$67,0))&lt;&gt;"",INDEX($S$44:$S$67,MATCH(TEXT(Q20,"yyyymmdd")&amp;"|4",$X$44:$X$67,0))&lt;&gt;"Planned")," • "&amp;INDEX($S$44:$S$67,MATCH(TEXT(Q20,"yyyymmdd")&amp;"|4",$X$44:$X$67,0)),""),"")</x:f>
      </x:c>
      <x:c r="R24" s="58"/>
      <x:c r="S24" s="59"/>
      <x:c r="T24" s="57" t="str">
        <x:f t="array" ref="T24">IFERROR("["&amp;INDEX($D$44:$D$67,MATCH(TEXT(T20,"yyyymmdd")&amp;"|4",$X$44:$X$67,0))&amp;"] "&amp;INDEX($G$44:$G$67,MATCH(TEXT(T20,"yyyymmdd")&amp;"|4",$X$44:$X$67,0))&amp;IF(INDEX($Q$44:$Q$67,MATCH(TEXT(T20,"yyyymmdd")&amp;"|4",$X$44:$X$67,0))&lt;&gt;""," • "&amp;INDEX($Q$44:$Q$67,MATCH(TEXT(T20,"yyyymmdd")&amp;"|4",$X$44:$X$67,0)),"")&amp;IF(INDEX($N$44:$N$67,MATCH(TEXT(T20,"yyyymmdd")&amp;"|4",$X$44:$X$67,0))&lt;&gt;""," — "&amp;INDEX($N$44:$N$67,MATCH(TEXT(T20,"yyyymmdd")&amp;"|4",$X$44:$X$67,0)),"")&amp;IF(AND(INDEX($S$44:$S$67,MATCH(TEXT(T20,"yyyymmdd")&amp;"|4",$X$44:$X$67,0))&lt;&gt;"",INDEX($S$44:$S$67,MATCH(TEXT(T20,"yyyymmdd")&amp;"|4",$X$44:$X$67,0))&lt;&gt;"Planned")," • "&amp;INDEX($S$44:$S$67,MATCH(TEXT(T20,"yyyymmdd")&amp;"|4",$X$44:$X$67,0)),""),"")</x:f>
        <x:v>[Reporting] KPI commentary due • 3:00 PM — Metric Owners</x:v>
      </x:c>
      <x:c r="U24" s="58"/>
      <x:c r="V24" s="59"/>
      <x:c r="W24" s="24"/>
      <x:c r="X24" s="24"/>
    </x:row>
    <x:row r="25" ht="12.75" customHeight="1">
      <x:c r="B25" s="66" t="n">
        <x:f>DATE($T$3,$X$2,1)-WEEKDAY(DATE($T$3,$X$2,1),1)+1+21</x:f>
        <x:v>46194</x:v>
      </x:c>
      <x:c r="C25" s="58"/>
      <x:c r="D25" s="59"/>
      <x:c r="E25" s="67" t="n">
        <x:f>DATE($T$3,$X$2,1)-WEEKDAY(DATE($T$3,$X$2,1),1)+1+22</x:f>
        <x:v>46195</x:v>
      </x:c>
      <x:c r="F25" s="58"/>
      <x:c r="G25" s="59"/>
      <x:c r="H25" s="67" t="n">
        <x:f>DATE($T$3,$X$2,1)-WEEKDAY(DATE($T$3,$X$2,1),1)+1+23</x:f>
        <x:v>46196</x:v>
      </x:c>
      <x:c r="I25" s="58"/>
      <x:c r="J25" s="59"/>
      <x:c r="K25" s="67" t="n">
        <x:f>DATE($T$3,$X$2,1)-WEEKDAY(DATE($T$3,$X$2,1),1)+1+24</x:f>
        <x:v>46197</x:v>
      </x:c>
      <x:c r="L25" s="58"/>
      <x:c r="M25" s="59"/>
      <x:c r="N25" s="67" t="n">
        <x:f>DATE($T$3,$X$2,1)-WEEKDAY(DATE($T$3,$X$2,1),1)+1+25</x:f>
        <x:v>46198</x:v>
      </x:c>
      <x:c r="O25" s="58"/>
      <x:c r="P25" s="59"/>
      <x:c r="Q25" s="67" t="n">
        <x:f>DATE($T$3,$X$2,1)-WEEKDAY(DATE($T$3,$X$2,1),1)+1+26</x:f>
        <x:v>46199</x:v>
      </x:c>
      <x:c r="R25" s="58"/>
      <x:c r="S25" s="59"/>
      <x:c r="T25" s="66" t="n">
        <x:f>DATE($T$3,$X$2,1)-WEEKDAY(DATE($T$3,$X$2,1),1)+1+27</x:f>
        <x:v>46200</x:v>
      </x:c>
      <x:c r="U25" s="58"/>
      <x:c r="V25" s="59"/>
      <x:c r="W25" s="24"/>
      <x:c r="X25" s="24"/>
    </x:row>
    <x:row r="26" ht="16.5" customHeight="1">
      <x:c r="B26" s="57" t="str">
        <x:f t="array" ref="B26">IFERROR("["&amp;INDEX($D$44:$D$67,MATCH(TEXT(B25,"yyyymmdd")&amp;"|1",$X$44:$X$67,0))&amp;"] "&amp;INDEX($G$44:$G$67,MATCH(TEXT(B25,"yyyymmdd")&amp;"|1",$X$44:$X$67,0))&amp;IF(INDEX($Q$44:$Q$67,MATCH(TEXT(B25,"yyyymmdd")&amp;"|1",$X$44:$X$67,0))&lt;&gt;""," • "&amp;INDEX($Q$44:$Q$67,MATCH(TEXT(B25,"yyyymmdd")&amp;"|1",$X$44:$X$67,0)),"")&amp;IF(INDEX($N$44:$N$67,MATCH(TEXT(B25,"yyyymmdd")&amp;"|1",$X$44:$X$67,0))&lt;&gt;""," — "&amp;INDEX($N$44:$N$67,MATCH(TEXT(B25,"yyyymmdd")&amp;"|1",$X$44:$X$67,0)),"")&amp;IF(AND(INDEX($S$44:$S$67,MATCH(TEXT(B25,"yyyymmdd")&amp;"|1",$X$44:$X$67,0))&lt;&gt;"",INDEX($S$44:$S$67,MATCH(TEXT(B25,"yyyymmdd")&amp;"|1",$X$44:$X$67,0))&lt;&gt;"Planned")," • "&amp;INDEX($S$44:$S$67,MATCH(TEXT(B25,"yyyymmdd")&amp;"|1",$X$44:$X$67,0)),""),"")</x:f>
        <x:v>[Close] Prior-month data cutoff and close kickoff • 9:00 AM — Accounting</x:v>
      </x:c>
      <x:c r="C26" s="58"/>
      <x:c r="D26" s="59"/>
      <x:c r="E26" s="60" t="str">
        <x:f t="array" ref="E26">IFERROR("["&amp;INDEX($D$44:$D$67,MATCH(TEXT(E25,"yyyymmdd")&amp;"|1",$X$44:$X$67,0))&amp;"] "&amp;INDEX($G$44:$G$67,MATCH(TEXT(E25,"yyyymmdd")&amp;"|1",$X$44:$X$67,0))&amp;IF(INDEX($Q$44:$Q$67,MATCH(TEXT(E25,"yyyymmdd")&amp;"|1",$X$44:$X$67,0))&lt;&gt;""," • "&amp;INDEX($Q$44:$Q$67,MATCH(TEXT(E25,"yyyymmdd")&amp;"|1",$X$44:$X$67,0)),"")&amp;IF(INDEX($N$44:$N$67,MATCH(TEXT(E25,"yyyymmdd")&amp;"|1",$X$44:$X$67,0))&lt;&gt;""," — "&amp;INDEX($N$44:$N$67,MATCH(TEXT(E25,"yyyymmdd")&amp;"|1",$X$44:$X$67,0)),"")&amp;IF(AND(INDEX($S$44:$S$67,MATCH(TEXT(E25,"yyyymmdd")&amp;"|1",$X$44:$X$67,0))&lt;&gt;"",INDEX($S$44:$S$67,MATCH(TEXT(E25,"yyyymmdd")&amp;"|1",$X$44:$X$67,0))&lt;&gt;"Planned")," • "&amp;INDEX($S$44:$S$67,MATCH(TEXT(E25,"yyyymmdd")&amp;"|1",$X$44:$X$67,0)),""),"")</x:f>
        <x:v>[Close] Prior-month data cutoff and close kickoff • 9:00 AM — Accounting</x:v>
      </x:c>
      <x:c r="F26" s="58"/>
      <x:c r="G26" s="59"/>
      <x:c r="H26" s="60" t="str">
        <x:f t="array" ref="H26">IFERROR("["&amp;INDEX($D$44:$D$67,MATCH(TEXT(H25,"yyyymmdd")&amp;"|1",$X$44:$X$67,0))&amp;"] "&amp;INDEX($G$44:$G$67,MATCH(TEXT(H25,"yyyymmdd")&amp;"|1",$X$44:$X$67,0))&amp;IF(INDEX($Q$44:$Q$67,MATCH(TEXT(H25,"yyyymmdd")&amp;"|1",$X$44:$X$67,0))&lt;&gt;""," • "&amp;INDEX($Q$44:$Q$67,MATCH(TEXT(H25,"yyyymmdd")&amp;"|1",$X$44:$X$67,0)),"")&amp;IF(INDEX($N$44:$N$67,MATCH(TEXT(H25,"yyyymmdd")&amp;"|1",$X$44:$X$67,0))&lt;&gt;""," — "&amp;INDEX($N$44:$N$67,MATCH(TEXT(H25,"yyyymmdd")&amp;"|1",$X$44:$X$67,0)),"")&amp;IF(AND(INDEX($S$44:$S$67,MATCH(TEXT(H25,"yyyymmdd")&amp;"|1",$X$44:$X$67,0))&lt;&gt;"",INDEX($S$44:$S$67,MATCH(TEXT(H25,"yyyymmdd")&amp;"|1",$X$44:$X$67,0))&lt;&gt;"Planned")," • "&amp;INDEX($S$44:$S$67,MATCH(TEXT(H25,"yyyymmdd")&amp;"|1",$X$44:$X$67,0)),""),"")</x:f>
        <x:v>[Close] Prior-month data cutoff and close kickoff • 9:00 AM — Accounting</x:v>
      </x:c>
      <x:c r="I26" s="58"/>
      <x:c r="J26" s="59"/>
      <x:c r="K26" s="60" t="str">
        <x:f t="array" ref="K26">IFERROR("["&amp;INDEX($D$44:$D$67,MATCH(TEXT(K25,"yyyymmdd")&amp;"|1",$X$44:$X$67,0))&amp;"] "&amp;INDEX($G$44:$G$67,MATCH(TEXT(K25,"yyyymmdd")&amp;"|1",$X$44:$X$67,0))&amp;IF(INDEX($Q$44:$Q$67,MATCH(TEXT(K25,"yyyymmdd")&amp;"|1",$X$44:$X$67,0))&lt;&gt;""," • "&amp;INDEX($Q$44:$Q$67,MATCH(TEXT(K25,"yyyymmdd")&amp;"|1",$X$44:$X$67,0)),"")&amp;IF(INDEX($N$44:$N$67,MATCH(TEXT(K25,"yyyymmdd")&amp;"|1",$X$44:$X$67,0))&lt;&gt;""," — "&amp;INDEX($N$44:$N$67,MATCH(TEXT(K25,"yyyymmdd")&amp;"|1",$X$44:$X$67,0)),"")&amp;IF(AND(INDEX($S$44:$S$67,MATCH(TEXT(K25,"yyyymmdd")&amp;"|1",$X$44:$X$67,0))&lt;&gt;"",INDEX($S$44:$S$67,MATCH(TEXT(K25,"yyyymmdd")&amp;"|1",$X$44:$X$67,0))&lt;&gt;"Planned")," • "&amp;INDEX($S$44:$S$67,MATCH(TEXT(K25,"yyyymmdd")&amp;"|1",$X$44:$X$67,0)),""),"")</x:f>
        <x:v>[Close] Prior-month data cutoff and close kickoff • 9:00 AM — Accounting</x:v>
      </x:c>
      <x:c r="L26" s="58"/>
      <x:c r="M26" s="59"/>
      <x:c r="N26" s="60" t="str">
        <x:f t="array" ref="N26">IFERROR("["&amp;INDEX($D$44:$D$67,MATCH(TEXT(N25,"yyyymmdd")&amp;"|1",$X$44:$X$67,0))&amp;"] "&amp;INDEX($G$44:$G$67,MATCH(TEXT(N25,"yyyymmdd")&amp;"|1",$X$44:$X$67,0))&amp;IF(INDEX($Q$44:$Q$67,MATCH(TEXT(N25,"yyyymmdd")&amp;"|1",$X$44:$X$67,0))&lt;&gt;""," • "&amp;INDEX($Q$44:$Q$67,MATCH(TEXT(N25,"yyyymmdd")&amp;"|1",$X$44:$X$67,0)),"")&amp;IF(INDEX($N$44:$N$67,MATCH(TEXT(N25,"yyyymmdd")&amp;"|1",$X$44:$X$67,0))&lt;&gt;""," — "&amp;INDEX($N$44:$N$67,MATCH(TEXT(N25,"yyyymmdd")&amp;"|1",$X$44:$X$67,0)),"")&amp;IF(AND(INDEX($S$44:$S$67,MATCH(TEXT(N25,"yyyymmdd")&amp;"|1",$X$44:$X$67,0))&lt;&gt;"",INDEX($S$44:$S$67,MATCH(TEXT(N25,"yyyymmdd")&amp;"|1",$X$44:$X$67,0))&lt;&gt;"Planned")," • "&amp;INDEX($S$44:$S$67,MATCH(TEXT(N25,"yyyymmdd")&amp;"|1",$X$44:$X$67,0)),""),"")</x:f>
        <x:v>[Close] Prior-month data cutoff and close kickoff • 9:00 AM — Accounting</x:v>
      </x:c>
      <x:c r="O26" s="58"/>
      <x:c r="P26" s="59"/>
      <x:c r="Q26" s="60" t="str">
        <x:f t="array" ref="Q26">IFERROR("["&amp;INDEX($D$44:$D$67,MATCH(TEXT(Q25,"yyyymmdd")&amp;"|1",$X$44:$X$67,0))&amp;"] "&amp;INDEX($G$44:$G$67,MATCH(TEXT(Q25,"yyyymmdd")&amp;"|1",$X$44:$X$67,0))&amp;IF(INDEX($Q$44:$Q$67,MATCH(TEXT(Q25,"yyyymmdd")&amp;"|1",$X$44:$X$67,0))&lt;&gt;""," • "&amp;INDEX($Q$44:$Q$67,MATCH(TEXT(Q25,"yyyymmdd")&amp;"|1",$X$44:$X$67,0)),"")&amp;IF(INDEX($N$44:$N$67,MATCH(TEXT(Q25,"yyyymmdd")&amp;"|1",$X$44:$X$67,0))&lt;&gt;""," — "&amp;INDEX($N$44:$N$67,MATCH(TEXT(Q25,"yyyymmdd")&amp;"|1",$X$44:$X$67,0)),"")&amp;IF(AND(INDEX($S$44:$S$67,MATCH(TEXT(Q25,"yyyymmdd")&amp;"|1",$X$44:$X$67,0))&lt;&gt;"",INDEX($S$44:$S$67,MATCH(TEXT(Q25,"yyyymmdd")&amp;"|1",$X$44:$X$67,0))&lt;&gt;"Planned")," • "&amp;INDEX($S$44:$S$67,MATCH(TEXT(Q25,"yyyymmdd")&amp;"|1",$X$44:$X$67,0)),""),"")</x:f>
        <x:v>[Close] Prior-month data cutoff and close kickoff • 9:00 AM — Accounting</x:v>
      </x:c>
      <x:c r="R26" s="58"/>
      <x:c r="S26" s="59"/>
      <x:c r="T26" s="57" t="str">
        <x:f t="array" ref="T26">IFERROR("["&amp;INDEX($D$44:$D$67,MATCH(TEXT(T25,"yyyymmdd")&amp;"|1",$X$44:$X$67,0))&amp;"] "&amp;INDEX($G$44:$G$67,MATCH(TEXT(T25,"yyyymmdd")&amp;"|1",$X$44:$X$67,0))&amp;IF(INDEX($Q$44:$Q$67,MATCH(TEXT(T25,"yyyymmdd")&amp;"|1",$X$44:$X$67,0))&lt;&gt;""," • "&amp;INDEX($Q$44:$Q$67,MATCH(TEXT(T25,"yyyymmdd")&amp;"|1",$X$44:$X$67,0)),"")&amp;IF(INDEX($N$44:$N$67,MATCH(TEXT(T25,"yyyymmdd")&amp;"|1",$X$44:$X$67,0))&lt;&gt;""," — "&amp;INDEX($N$44:$N$67,MATCH(TEXT(T25,"yyyymmdd")&amp;"|1",$X$44:$X$67,0)),"")&amp;IF(AND(INDEX($S$44:$S$67,MATCH(TEXT(T25,"yyyymmdd")&amp;"|1",$X$44:$X$67,0))&lt;&gt;"",INDEX($S$44:$S$67,MATCH(TEXT(T25,"yyyymmdd")&amp;"|1",$X$44:$X$67,0))&lt;&gt;"Planned")," • "&amp;INDEX($S$44:$S$67,MATCH(TEXT(T25,"yyyymmdd")&amp;"|1",$X$44:$X$67,0)),""),"")</x:f>
        <x:v>[Close] Prior-month data cutoff and close kickoff • 9:00 AM — Accounting</x:v>
      </x:c>
      <x:c r="U26" s="58"/>
      <x:c r="V26" s="59"/>
      <x:c r="W26" s="24"/>
      <x:c r="X26" s="24"/>
    </x:row>
    <x:row r="27" ht="16.5" customHeight="1">
      <x:c r="B27" s="57" t="str">
        <x:f t="array" ref="B27">IFERROR("["&amp;INDEX($D$44:$D$67,MATCH(TEXT(B25,"yyyymmdd")&amp;"|2",$X$44:$X$67,0))&amp;"] "&amp;INDEX($G$44:$G$67,MATCH(TEXT(B25,"yyyymmdd")&amp;"|2",$X$44:$X$67,0))&amp;IF(INDEX($Q$44:$Q$67,MATCH(TEXT(B25,"yyyymmdd")&amp;"|2",$X$44:$X$67,0))&lt;&gt;""," • "&amp;INDEX($Q$44:$Q$67,MATCH(TEXT(B25,"yyyymmdd")&amp;"|2",$X$44:$X$67,0)),"")&amp;IF(INDEX($N$44:$N$67,MATCH(TEXT(B25,"yyyymmdd")&amp;"|2",$X$44:$X$67,0))&lt;&gt;""," — "&amp;INDEX($N$44:$N$67,MATCH(TEXT(B25,"yyyymmdd")&amp;"|2",$X$44:$X$67,0)),"")&amp;IF(AND(INDEX($S$44:$S$67,MATCH(TEXT(B25,"yyyymmdd")&amp;"|2",$X$44:$X$67,0))&lt;&gt;"",INDEX($S$44:$S$67,MATCH(TEXT(B25,"yyyymmdd")&amp;"|2",$X$44:$X$67,0))&lt;&gt;"Planned")," • "&amp;INDEX($S$44:$S$67,MATCH(TEXT(B25,"yyyymmdd")&amp;"|2",$X$44:$X$67,0)),""),"")</x:f>
      </x:c>
      <x:c r="C27" s="58"/>
      <x:c r="D27" s="59"/>
      <x:c r="E27" s="60" t="str">
        <x:f t="array" ref="E27">IFERROR("["&amp;INDEX($D$44:$D$67,MATCH(TEXT(E25,"yyyymmdd")&amp;"|2",$X$44:$X$67,0))&amp;"] "&amp;INDEX($G$44:$G$67,MATCH(TEXT(E25,"yyyymmdd")&amp;"|2",$X$44:$X$67,0))&amp;IF(INDEX($Q$44:$Q$67,MATCH(TEXT(E25,"yyyymmdd")&amp;"|2",$X$44:$X$67,0))&lt;&gt;""," • "&amp;INDEX($Q$44:$Q$67,MATCH(TEXT(E25,"yyyymmdd")&amp;"|2",$X$44:$X$67,0)),"")&amp;IF(INDEX($N$44:$N$67,MATCH(TEXT(E25,"yyyymmdd")&amp;"|2",$X$44:$X$67,0))&lt;&gt;""," — "&amp;INDEX($N$44:$N$67,MATCH(TEXT(E25,"yyyymmdd")&amp;"|2",$X$44:$X$67,0)),"")&amp;IF(AND(INDEX($S$44:$S$67,MATCH(TEXT(E25,"yyyymmdd")&amp;"|2",$X$44:$X$67,0))&lt;&gt;"",INDEX($S$44:$S$67,MATCH(TEXT(E25,"yyyymmdd")&amp;"|2",$X$44:$X$67,0))&lt;&gt;"Planned")," • "&amp;INDEX($S$44:$S$67,MATCH(TEXT(E25,"yyyymmdd")&amp;"|2",$X$44:$X$67,0)),""),"")</x:f>
      </x:c>
      <x:c r="F27" s="58"/>
      <x:c r="G27" s="59"/>
      <x:c r="H27" s="60" t="str">
        <x:f t="array" ref="H27">IFERROR("["&amp;INDEX($D$44:$D$67,MATCH(TEXT(H25,"yyyymmdd")&amp;"|2",$X$44:$X$67,0))&amp;"] "&amp;INDEX($G$44:$G$67,MATCH(TEXT(H25,"yyyymmdd")&amp;"|2",$X$44:$X$67,0))&amp;IF(INDEX($Q$44:$Q$67,MATCH(TEXT(H25,"yyyymmdd")&amp;"|2",$X$44:$X$67,0))&lt;&gt;""," • "&amp;INDEX($Q$44:$Q$67,MATCH(TEXT(H25,"yyyymmdd")&amp;"|2",$X$44:$X$67,0)),"")&amp;IF(INDEX($N$44:$N$67,MATCH(TEXT(H25,"yyyymmdd")&amp;"|2",$X$44:$X$67,0))&lt;&gt;""," — "&amp;INDEX($N$44:$N$67,MATCH(TEXT(H25,"yyyymmdd")&amp;"|2",$X$44:$X$67,0)),"")&amp;IF(AND(INDEX($S$44:$S$67,MATCH(TEXT(H25,"yyyymmdd")&amp;"|2",$X$44:$X$67,0))&lt;&gt;"",INDEX($S$44:$S$67,MATCH(TEXT(H25,"yyyymmdd")&amp;"|2",$X$44:$X$67,0))&lt;&gt;"Planned")," • "&amp;INDEX($S$44:$S$67,MATCH(TEXT(H25,"yyyymmdd")&amp;"|2",$X$44:$X$67,0)),""),"")</x:f>
        <x:v>[Review] Monthly operating review • 10:00 AM — Leadership</x:v>
      </x:c>
      <x:c r="I27" s="58"/>
      <x:c r="J27" s="59"/>
      <x:c r="K27" s="60" t="str">
        <x:f t="array" ref="K27">IFERROR("["&amp;INDEX($D$44:$D$67,MATCH(TEXT(K25,"yyyymmdd")&amp;"|2",$X$44:$X$67,0))&amp;"] "&amp;INDEX($G$44:$G$67,MATCH(TEXT(K25,"yyyymmdd")&amp;"|2",$X$44:$X$67,0))&amp;IF(INDEX($Q$44:$Q$67,MATCH(TEXT(K25,"yyyymmdd")&amp;"|2",$X$44:$X$67,0))&lt;&gt;""," • "&amp;INDEX($Q$44:$Q$67,MATCH(TEXT(K25,"yyyymmdd")&amp;"|2",$X$44:$X$67,0)),"")&amp;IF(INDEX($N$44:$N$67,MATCH(TEXT(K25,"yyyymmdd")&amp;"|2",$X$44:$X$67,0))&lt;&gt;""," — "&amp;INDEX($N$44:$N$67,MATCH(TEXT(K25,"yyyymmdd")&amp;"|2",$X$44:$X$67,0)),"")&amp;IF(AND(INDEX($S$44:$S$67,MATCH(TEXT(K25,"yyyymmdd")&amp;"|2",$X$44:$X$67,0))&lt;&gt;"",INDEX($S$44:$S$67,MATCH(TEXT(K25,"yyyymmdd")&amp;"|2",$X$44:$X$67,0))&lt;&gt;"Planned")," • "&amp;INDEX($S$44:$S$67,MATCH(TEXT(K25,"yyyymmdd")&amp;"|2",$X$44:$X$67,0)),""),"")</x:f>
      </x:c>
      <x:c r="L27" s="58"/>
      <x:c r="M27" s="59"/>
      <x:c r="N27" s="60" t="str">
        <x:f t="array" ref="N27">IFERROR("["&amp;INDEX($D$44:$D$67,MATCH(TEXT(N25,"yyyymmdd")&amp;"|2",$X$44:$X$67,0))&amp;"] "&amp;INDEX($G$44:$G$67,MATCH(TEXT(N25,"yyyymmdd")&amp;"|2",$X$44:$X$67,0))&amp;IF(INDEX($Q$44:$Q$67,MATCH(TEXT(N25,"yyyymmdd")&amp;"|2",$X$44:$X$67,0))&lt;&gt;""," • "&amp;INDEX($Q$44:$Q$67,MATCH(TEXT(N25,"yyyymmdd")&amp;"|2",$X$44:$X$67,0)),"")&amp;IF(INDEX($N$44:$N$67,MATCH(TEXT(N25,"yyyymmdd")&amp;"|2",$X$44:$X$67,0))&lt;&gt;""," — "&amp;INDEX($N$44:$N$67,MATCH(TEXT(N25,"yyyymmdd")&amp;"|2",$X$44:$X$67,0)),"")&amp;IF(AND(INDEX($S$44:$S$67,MATCH(TEXT(N25,"yyyymmdd")&amp;"|2",$X$44:$X$67,0))&lt;&gt;"",INDEX($S$44:$S$67,MATCH(TEXT(N25,"yyyymmdd")&amp;"|2",$X$44:$X$67,0))&lt;&gt;"Planned")," • "&amp;INDEX($S$44:$S$67,MATCH(TEXT(N25,"yyyymmdd")&amp;"|2",$X$44:$X$67,0)),""),"")</x:f>
      </x:c>
      <x:c r="O27" s="58"/>
      <x:c r="P27" s="59"/>
      <x:c r="Q27" s="60" t="str">
        <x:f t="array" ref="Q27">IFERROR("["&amp;INDEX($D$44:$D$67,MATCH(TEXT(Q25,"yyyymmdd")&amp;"|2",$X$44:$X$67,0))&amp;"] "&amp;INDEX($G$44:$G$67,MATCH(TEXT(Q25,"yyyymmdd")&amp;"|2",$X$44:$X$67,0))&amp;IF(INDEX($Q$44:$Q$67,MATCH(TEXT(Q25,"yyyymmdd")&amp;"|2",$X$44:$X$67,0))&lt;&gt;""," • "&amp;INDEX($Q$44:$Q$67,MATCH(TEXT(Q25,"yyyymmdd")&amp;"|2",$X$44:$X$67,0)),"")&amp;IF(INDEX($N$44:$N$67,MATCH(TEXT(Q25,"yyyymmdd")&amp;"|2",$X$44:$X$67,0))&lt;&gt;""," — "&amp;INDEX($N$44:$N$67,MATCH(TEXT(Q25,"yyyymmdd")&amp;"|2",$X$44:$X$67,0)),"")&amp;IF(AND(INDEX($S$44:$S$67,MATCH(TEXT(Q25,"yyyymmdd")&amp;"|2",$X$44:$X$67,0))&lt;&gt;"",INDEX($S$44:$S$67,MATCH(TEXT(Q25,"yyyymmdd")&amp;"|2",$X$44:$X$67,0))&lt;&gt;"Planned")," • "&amp;INDEX($S$44:$S$67,MATCH(TEXT(Q25,"yyyymmdd")&amp;"|2",$X$44:$X$67,0)),""),"")</x:f>
        <x:v>[Planning] Next-month assumptions finalized • 3:00 PM — FP&amp;A</x:v>
      </x:c>
      <x:c r="R27" s="58"/>
      <x:c r="S27" s="59"/>
      <x:c r="T27" s="57" t="str">
        <x:f t="array" ref="T27">IFERROR("["&amp;INDEX($D$44:$D$67,MATCH(TEXT(T25,"yyyymmdd")&amp;"|2",$X$44:$X$67,0))&amp;"] "&amp;INDEX($G$44:$G$67,MATCH(TEXT(T25,"yyyymmdd")&amp;"|2",$X$44:$X$67,0))&amp;IF(INDEX($Q$44:$Q$67,MATCH(TEXT(T25,"yyyymmdd")&amp;"|2",$X$44:$X$67,0))&lt;&gt;""," • "&amp;INDEX($Q$44:$Q$67,MATCH(TEXT(T25,"yyyymmdd")&amp;"|2",$X$44:$X$67,0)),"")&amp;IF(INDEX($N$44:$N$67,MATCH(TEXT(T25,"yyyymmdd")&amp;"|2",$X$44:$X$67,0))&lt;&gt;""," — "&amp;INDEX($N$44:$N$67,MATCH(TEXT(T25,"yyyymmdd")&amp;"|2",$X$44:$X$67,0)),"")&amp;IF(AND(INDEX($S$44:$S$67,MATCH(TEXT(T25,"yyyymmdd")&amp;"|2",$X$44:$X$67,0))&lt;&gt;"",INDEX($S$44:$S$67,MATCH(TEXT(T25,"yyyymmdd")&amp;"|2",$X$44:$X$67,0))&lt;&gt;"Planned")," • "&amp;INDEX($S$44:$S$67,MATCH(TEXT(T25,"yyyymmdd")&amp;"|2",$X$44:$X$67,0)),""),"")</x:f>
      </x:c>
      <x:c r="U27" s="58"/>
      <x:c r="V27" s="59"/>
      <x:c r="W27" s="24"/>
      <x:c r="X27" s="24"/>
    </x:row>
    <x:row r="28" ht="16.5" customHeight="1">
      <x:c r="B28" s="57" t="str">
        <x:f t="array" ref="B28">IFERROR("["&amp;INDEX($D$44:$D$67,MATCH(TEXT(B25,"yyyymmdd")&amp;"|3",$X$44:$X$67,0))&amp;"] "&amp;INDEX($G$44:$G$67,MATCH(TEXT(B25,"yyyymmdd")&amp;"|3",$X$44:$X$67,0))&amp;IF(INDEX($Q$44:$Q$67,MATCH(TEXT(B25,"yyyymmdd")&amp;"|3",$X$44:$X$67,0))&lt;&gt;""," • "&amp;INDEX($Q$44:$Q$67,MATCH(TEXT(B25,"yyyymmdd")&amp;"|3",$X$44:$X$67,0)),"")&amp;IF(INDEX($N$44:$N$67,MATCH(TEXT(B25,"yyyymmdd")&amp;"|3",$X$44:$X$67,0))&lt;&gt;""," — "&amp;INDEX($N$44:$N$67,MATCH(TEXT(B25,"yyyymmdd")&amp;"|3",$X$44:$X$67,0)),"")&amp;IF(AND(INDEX($S$44:$S$67,MATCH(TEXT(B25,"yyyymmdd")&amp;"|3",$X$44:$X$67,0))&lt;&gt;"",INDEX($S$44:$S$67,MATCH(TEXT(B25,"yyyymmdd")&amp;"|3",$X$44:$X$67,0))&lt;&gt;"Planned")," • "&amp;INDEX($S$44:$S$67,MATCH(TEXT(B25,"yyyymmdd")&amp;"|3",$X$44:$X$67,0)),""),"")</x:f>
      </x:c>
      <x:c r="C28" s="58"/>
      <x:c r="D28" s="59"/>
      <x:c r="E28" s="60" t="str">
        <x:f t="array" ref="E28">IFERROR("["&amp;INDEX($D$44:$D$67,MATCH(TEXT(E25,"yyyymmdd")&amp;"|3",$X$44:$X$67,0))&amp;"] "&amp;INDEX($G$44:$G$67,MATCH(TEXT(E25,"yyyymmdd")&amp;"|3",$X$44:$X$67,0))&amp;IF(INDEX($Q$44:$Q$67,MATCH(TEXT(E25,"yyyymmdd")&amp;"|3",$X$44:$X$67,0))&lt;&gt;""," • "&amp;INDEX($Q$44:$Q$67,MATCH(TEXT(E25,"yyyymmdd")&amp;"|3",$X$44:$X$67,0)),"")&amp;IF(INDEX($N$44:$N$67,MATCH(TEXT(E25,"yyyymmdd")&amp;"|3",$X$44:$X$67,0))&lt;&gt;""," — "&amp;INDEX($N$44:$N$67,MATCH(TEXT(E25,"yyyymmdd")&amp;"|3",$X$44:$X$67,0)),"")&amp;IF(AND(INDEX($S$44:$S$67,MATCH(TEXT(E25,"yyyymmdd")&amp;"|3",$X$44:$X$67,0))&lt;&gt;"",INDEX($S$44:$S$67,MATCH(TEXT(E25,"yyyymmdd")&amp;"|3",$X$44:$X$67,0))&lt;&gt;"Planned")," • "&amp;INDEX($S$44:$S$67,MATCH(TEXT(E25,"yyyymmdd")&amp;"|3",$X$44:$X$67,0)),""),"")</x:f>
      </x:c>
      <x:c r="F28" s="58"/>
      <x:c r="G28" s="59"/>
      <x:c r="H28" s="60" t="str">
        <x:f t="array" ref="H28">IFERROR("["&amp;INDEX($D$44:$D$67,MATCH(TEXT(H25,"yyyymmdd")&amp;"|3",$X$44:$X$67,0))&amp;"] "&amp;INDEX($G$44:$G$67,MATCH(TEXT(H25,"yyyymmdd")&amp;"|3",$X$44:$X$67,0))&amp;IF(INDEX($Q$44:$Q$67,MATCH(TEXT(H25,"yyyymmdd")&amp;"|3",$X$44:$X$67,0))&lt;&gt;""," • "&amp;INDEX($Q$44:$Q$67,MATCH(TEXT(H25,"yyyymmdd")&amp;"|3",$X$44:$X$67,0)),"")&amp;IF(INDEX($N$44:$N$67,MATCH(TEXT(H25,"yyyymmdd")&amp;"|3",$X$44:$X$67,0))&lt;&gt;""," — "&amp;INDEX($N$44:$N$67,MATCH(TEXT(H25,"yyyymmdd")&amp;"|3",$X$44:$X$67,0)),"")&amp;IF(AND(INDEX($S$44:$S$67,MATCH(TEXT(H25,"yyyymmdd")&amp;"|3",$X$44:$X$67,0))&lt;&gt;"",INDEX($S$44:$S$67,MATCH(TEXT(H25,"yyyymmdd")&amp;"|3",$X$44:$X$67,0))&lt;&gt;"Planned")," • "&amp;INDEX($S$44:$S$67,MATCH(TEXT(H25,"yyyymmdd")&amp;"|3",$X$44:$X$67,0)),""),"")</x:f>
        <x:v>[Review] Monthly operating review • 10:00 AM — Leadership</x:v>
      </x:c>
      <x:c r="I28" s="58"/>
      <x:c r="J28" s="59"/>
      <x:c r="K28" s="60" t="str">
        <x:f t="array" ref="K28">IFERROR("["&amp;INDEX($D$44:$D$67,MATCH(TEXT(K25,"yyyymmdd")&amp;"|3",$X$44:$X$67,0))&amp;"] "&amp;INDEX($G$44:$G$67,MATCH(TEXT(K25,"yyyymmdd")&amp;"|3",$X$44:$X$67,0))&amp;IF(INDEX($Q$44:$Q$67,MATCH(TEXT(K25,"yyyymmdd")&amp;"|3",$X$44:$X$67,0))&lt;&gt;""," • "&amp;INDEX($Q$44:$Q$67,MATCH(TEXT(K25,"yyyymmdd")&amp;"|3",$X$44:$X$67,0)),"")&amp;IF(INDEX($N$44:$N$67,MATCH(TEXT(K25,"yyyymmdd")&amp;"|3",$X$44:$X$67,0))&lt;&gt;""," — "&amp;INDEX($N$44:$N$67,MATCH(TEXT(K25,"yyyymmdd")&amp;"|3",$X$44:$X$67,0)),"")&amp;IF(AND(INDEX($S$44:$S$67,MATCH(TEXT(K25,"yyyymmdd")&amp;"|3",$X$44:$X$67,0))&lt;&gt;"",INDEX($S$44:$S$67,MATCH(TEXT(K25,"yyyymmdd")&amp;"|3",$X$44:$X$67,0))&lt;&gt;"Planned")," • "&amp;INDEX($S$44:$S$67,MATCH(TEXT(K25,"yyyymmdd")&amp;"|3",$X$44:$X$67,0)),""),"")</x:f>
      </x:c>
      <x:c r="L28" s="58"/>
      <x:c r="M28" s="59"/>
      <x:c r="N28" s="60" t="str">
        <x:f t="array" ref="N28">IFERROR("["&amp;INDEX($D$44:$D$67,MATCH(TEXT(N25,"yyyymmdd")&amp;"|3",$X$44:$X$67,0))&amp;"] "&amp;INDEX($G$44:$G$67,MATCH(TEXT(N25,"yyyymmdd")&amp;"|3",$X$44:$X$67,0))&amp;IF(INDEX($Q$44:$Q$67,MATCH(TEXT(N25,"yyyymmdd")&amp;"|3",$X$44:$X$67,0))&lt;&gt;""," • "&amp;INDEX($Q$44:$Q$67,MATCH(TEXT(N25,"yyyymmdd")&amp;"|3",$X$44:$X$67,0)),"")&amp;IF(INDEX($N$44:$N$67,MATCH(TEXT(N25,"yyyymmdd")&amp;"|3",$X$44:$X$67,0))&lt;&gt;""," — "&amp;INDEX($N$44:$N$67,MATCH(TEXT(N25,"yyyymmdd")&amp;"|3",$X$44:$X$67,0)),"")&amp;IF(AND(INDEX($S$44:$S$67,MATCH(TEXT(N25,"yyyymmdd")&amp;"|3",$X$44:$X$67,0))&lt;&gt;"",INDEX($S$44:$S$67,MATCH(TEXT(N25,"yyyymmdd")&amp;"|3",$X$44:$X$67,0))&lt;&gt;"Planned")," • "&amp;INDEX($S$44:$S$67,MATCH(TEXT(N25,"yyyymmdd")&amp;"|3",$X$44:$X$67,0)),""),"")</x:f>
      </x:c>
      <x:c r="O28" s="58"/>
      <x:c r="P28" s="59"/>
      <x:c r="Q28" s="60" t="str">
        <x:f t="array" ref="Q28">IFERROR("["&amp;INDEX($D$44:$D$67,MATCH(TEXT(Q25,"yyyymmdd")&amp;"|3",$X$44:$X$67,0))&amp;"] "&amp;INDEX($G$44:$G$67,MATCH(TEXT(Q25,"yyyymmdd")&amp;"|3",$X$44:$X$67,0))&amp;IF(INDEX($Q$44:$Q$67,MATCH(TEXT(Q25,"yyyymmdd")&amp;"|3",$X$44:$X$67,0))&lt;&gt;""," • "&amp;INDEX($Q$44:$Q$67,MATCH(TEXT(Q25,"yyyymmdd")&amp;"|3",$X$44:$X$67,0)),"")&amp;IF(INDEX($N$44:$N$67,MATCH(TEXT(Q25,"yyyymmdd")&amp;"|3",$X$44:$X$67,0))&lt;&gt;""," — "&amp;INDEX($N$44:$N$67,MATCH(TEXT(Q25,"yyyymmdd")&amp;"|3",$X$44:$X$67,0)),"")&amp;IF(AND(INDEX($S$44:$S$67,MATCH(TEXT(Q25,"yyyymmdd")&amp;"|3",$X$44:$X$67,0))&lt;&gt;"",INDEX($S$44:$S$67,MATCH(TEXT(Q25,"yyyymmdd")&amp;"|3",$X$44:$X$67,0))&lt;&gt;"Planned")," • "&amp;INDEX($S$44:$S$67,MATCH(TEXT(Q25,"yyyymmdd")&amp;"|3",$X$44:$X$67,0)),""),"")</x:f>
        <x:v>[Planning] Next-month assumptions finalized • 3:00 PM — FP&amp;A</x:v>
      </x:c>
      <x:c r="R28" s="58"/>
      <x:c r="S28" s="59"/>
      <x:c r="T28" s="57" t="str">
        <x:f t="array" ref="T28">IFERROR("["&amp;INDEX($D$44:$D$67,MATCH(TEXT(T25,"yyyymmdd")&amp;"|3",$X$44:$X$67,0))&amp;"] "&amp;INDEX($G$44:$G$67,MATCH(TEXT(T25,"yyyymmdd")&amp;"|3",$X$44:$X$67,0))&amp;IF(INDEX($Q$44:$Q$67,MATCH(TEXT(T25,"yyyymmdd")&amp;"|3",$X$44:$X$67,0))&lt;&gt;""," • "&amp;INDEX($Q$44:$Q$67,MATCH(TEXT(T25,"yyyymmdd")&amp;"|3",$X$44:$X$67,0)),"")&amp;IF(INDEX($N$44:$N$67,MATCH(TEXT(T25,"yyyymmdd")&amp;"|3",$X$44:$X$67,0))&lt;&gt;""," — "&amp;INDEX($N$44:$N$67,MATCH(TEXT(T25,"yyyymmdd")&amp;"|3",$X$44:$X$67,0)),"")&amp;IF(AND(INDEX($S$44:$S$67,MATCH(TEXT(T25,"yyyymmdd")&amp;"|3",$X$44:$X$67,0))&lt;&gt;"",INDEX($S$44:$S$67,MATCH(TEXT(T25,"yyyymmdd")&amp;"|3",$X$44:$X$67,0))&lt;&gt;"Planned")," • "&amp;INDEX($S$44:$S$67,MATCH(TEXT(T25,"yyyymmdd")&amp;"|3",$X$44:$X$67,0)),""),"")</x:f>
      </x:c>
      <x:c r="U28" s="58"/>
      <x:c r="V28" s="59"/>
      <x:c r="W28" s="24"/>
      <x:c r="X28" s="24"/>
    </x:row>
    <x:row r="29" ht="16.5" customHeight="1">
      <x:c r="B29" s="57" t="str">
        <x:f t="array" ref="B29">IFERROR("["&amp;INDEX($D$44:$D$67,MATCH(TEXT(B25,"yyyymmdd")&amp;"|4",$X$44:$X$67,0))&amp;"] "&amp;INDEX($G$44:$G$67,MATCH(TEXT(B25,"yyyymmdd")&amp;"|4",$X$44:$X$67,0))&amp;IF(INDEX($Q$44:$Q$67,MATCH(TEXT(B25,"yyyymmdd")&amp;"|4",$X$44:$X$67,0))&lt;&gt;""," • "&amp;INDEX($Q$44:$Q$67,MATCH(TEXT(B25,"yyyymmdd")&amp;"|4",$X$44:$X$67,0)),"")&amp;IF(INDEX($N$44:$N$67,MATCH(TEXT(B25,"yyyymmdd")&amp;"|4",$X$44:$X$67,0))&lt;&gt;""," — "&amp;INDEX($N$44:$N$67,MATCH(TEXT(B25,"yyyymmdd")&amp;"|4",$X$44:$X$67,0)),"")&amp;IF(AND(INDEX($S$44:$S$67,MATCH(TEXT(B25,"yyyymmdd")&amp;"|4",$X$44:$X$67,0))&lt;&gt;"",INDEX($S$44:$S$67,MATCH(TEXT(B25,"yyyymmdd")&amp;"|4",$X$44:$X$67,0))&lt;&gt;"Planned")," • "&amp;INDEX($S$44:$S$67,MATCH(TEXT(B25,"yyyymmdd")&amp;"|4",$X$44:$X$67,0)),""),"")</x:f>
      </x:c>
      <x:c r="C29" s="58"/>
      <x:c r="D29" s="59"/>
      <x:c r="E29" s="60" t="str">
        <x:f t="array" ref="E29">IFERROR("["&amp;INDEX($D$44:$D$67,MATCH(TEXT(E25,"yyyymmdd")&amp;"|4",$X$44:$X$67,0))&amp;"] "&amp;INDEX($G$44:$G$67,MATCH(TEXT(E25,"yyyymmdd")&amp;"|4",$X$44:$X$67,0))&amp;IF(INDEX($Q$44:$Q$67,MATCH(TEXT(E25,"yyyymmdd")&amp;"|4",$X$44:$X$67,0))&lt;&gt;""," • "&amp;INDEX($Q$44:$Q$67,MATCH(TEXT(E25,"yyyymmdd")&amp;"|4",$X$44:$X$67,0)),"")&amp;IF(INDEX($N$44:$N$67,MATCH(TEXT(E25,"yyyymmdd")&amp;"|4",$X$44:$X$67,0))&lt;&gt;""," — "&amp;INDEX($N$44:$N$67,MATCH(TEXT(E25,"yyyymmdd")&amp;"|4",$X$44:$X$67,0)),"")&amp;IF(AND(INDEX($S$44:$S$67,MATCH(TEXT(E25,"yyyymmdd")&amp;"|4",$X$44:$X$67,0))&lt;&gt;"",INDEX($S$44:$S$67,MATCH(TEXT(E25,"yyyymmdd")&amp;"|4",$X$44:$X$67,0))&lt;&gt;"Planned")," • "&amp;INDEX($S$44:$S$67,MATCH(TEXT(E25,"yyyymmdd")&amp;"|4",$X$44:$X$67,0)),""),"")</x:f>
      </x:c>
      <x:c r="F29" s="58"/>
      <x:c r="G29" s="59"/>
      <x:c r="H29" s="60" t="str">
        <x:f t="array" ref="H29">IFERROR("["&amp;INDEX($D$44:$D$67,MATCH(TEXT(H25,"yyyymmdd")&amp;"|4",$X$44:$X$67,0))&amp;"] "&amp;INDEX($G$44:$G$67,MATCH(TEXT(H25,"yyyymmdd")&amp;"|4",$X$44:$X$67,0))&amp;IF(INDEX($Q$44:$Q$67,MATCH(TEXT(H25,"yyyymmdd")&amp;"|4",$X$44:$X$67,0))&lt;&gt;""," • "&amp;INDEX($Q$44:$Q$67,MATCH(TEXT(H25,"yyyymmdd")&amp;"|4",$X$44:$X$67,0)),"")&amp;IF(INDEX($N$44:$N$67,MATCH(TEXT(H25,"yyyymmdd")&amp;"|4",$X$44:$X$67,0))&lt;&gt;""," — "&amp;INDEX($N$44:$N$67,MATCH(TEXT(H25,"yyyymmdd")&amp;"|4",$X$44:$X$67,0)),"")&amp;IF(AND(INDEX($S$44:$S$67,MATCH(TEXT(H25,"yyyymmdd")&amp;"|4",$X$44:$X$67,0))&lt;&gt;"",INDEX($S$44:$S$67,MATCH(TEXT(H25,"yyyymmdd")&amp;"|4",$X$44:$X$67,0))&lt;&gt;"Planned")," • "&amp;INDEX($S$44:$S$67,MATCH(TEXT(H25,"yyyymmdd")&amp;"|4",$X$44:$X$67,0)),""),"")</x:f>
        <x:v>[Review] Monthly operating review • 10:00 AM — Leadership</x:v>
      </x:c>
      <x:c r="I29" s="58"/>
      <x:c r="J29" s="59"/>
      <x:c r="K29" s="60" t="str">
        <x:f t="array" ref="K29">IFERROR("["&amp;INDEX($D$44:$D$67,MATCH(TEXT(K25,"yyyymmdd")&amp;"|4",$X$44:$X$67,0))&amp;"] "&amp;INDEX($G$44:$G$67,MATCH(TEXT(K25,"yyyymmdd")&amp;"|4",$X$44:$X$67,0))&amp;IF(INDEX($Q$44:$Q$67,MATCH(TEXT(K25,"yyyymmdd")&amp;"|4",$X$44:$X$67,0))&lt;&gt;""," • "&amp;INDEX($Q$44:$Q$67,MATCH(TEXT(K25,"yyyymmdd")&amp;"|4",$X$44:$X$67,0)),"")&amp;IF(INDEX($N$44:$N$67,MATCH(TEXT(K25,"yyyymmdd")&amp;"|4",$X$44:$X$67,0))&lt;&gt;""," — "&amp;INDEX($N$44:$N$67,MATCH(TEXT(K25,"yyyymmdd")&amp;"|4",$X$44:$X$67,0)),"")&amp;IF(AND(INDEX($S$44:$S$67,MATCH(TEXT(K25,"yyyymmdd")&amp;"|4",$X$44:$X$67,0))&lt;&gt;"",INDEX($S$44:$S$67,MATCH(TEXT(K25,"yyyymmdd")&amp;"|4",$X$44:$X$67,0))&lt;&gt;"Planned")," • "&amp;INDEX($S$44:$S$67,MATCH(TEXT(K25,"yyyymmdd")&amp;"|4",$X$44:$X$67,0)),""),"")</x:f>
      </x:c>
      <x:c r="L29" s="58"/>
      <x:c r="M29" s="59"/>
      <x:c r="N29" s="60" t="str">
        <x:f t="array" ref="N29">IFERROR("["&amp;INDEX($D$44:$D$67,MATCH(TEXT(N25,"yyyymmdd")&amp;"|4",$X$44:$X$67,0))&amp;"] "&amp;INDEX($G$44:$G$67,MATCH(TEXT(N25,"yyyymmdd")&amp;"|4",$X$44:$X$67,0))&amp;IF(INDEX($Q$44:$Q$67,MATCH(TEXT(N25,"yyyymmdd")&amp;"|4",$X$44:$X$67,0))&lt;&gt;""," • "&amp;INDEX($Q$44:$Q$67,MATCH(TEXT(N25,"yyyymmdd")&amp;"|4",$X$44:$X$67,0)),"")&amp;IF(INDEX($N$44:$N$67,MATCH(TEXT(N25,"yyyymmdd")&amp;"|4",$X$44:$X$67,0))&lt;&gt;""," — "&amp;INDEX($N$44:$N$67,MATCH(TEXT(N25,"yyyymmdd")&amp;"|4",$X$44:$X$67,0)),"")&amp;IF(AND(INDEX($S$44:$S$67,MATCH(TEXT(N25,"yyyymmdd")&amp;"|4",$X$44:$X$67,0))&lt;&gt;"",INDEX($S$44:$S$67,MATCH(TEXT(N25,"yyyymmdd")&amp;"|4",$X$44:$X$67,0))&lt;&gt;"Planned")," • "&amp;INDEX($S$44:$S$67,MATCH(TEXT(N25,"yyyymmdd")&amp;"|4",$X$44:$X$67,0)),""),"")</x:f>
      </x:c>
      <x:c r="O29" s="58"/>
      <x:c r="P29" s="59"/>
      <x:c r="Q29" s="60" t="str">
        <x:f t="array" ref="Q29">IFERROR("["&amp;INDEX($D$44:$D$67,MATCH(TEXT(Q25,"yyyymmdd")&amp;"|4",$X$44:$X$67,0))&amp;"] "&amp;INDEX($G$44:$G$67,MATCH(TEXT(Q25,"yyyymmdd")&amp;"|4",$X$44:$X$67,0))&amp;IF(INDEX($Q$44:$Q$67,MATCH(TEXT(Q25,"yyyymmdd")&amp;"|4",$X$44:$X$67,0))&lt;&gt;""," • "&amp;INDEX($Q$44:$Q$67,MATCH(TEXT(Q25,"yyyymmdd")&amp;"|4",$X$44:$X$67,0)),"")&amp;IF(INDEX($N$44:$N$67,MATCH(TEXT(Q25,"yyyymmdd")&amp;"|4",$X$44:$X$67,0))&lt;&gt;""," — "&amp;INDEX($N$44:$N$67,MATCH(TEXT(Q25,"yyyymmdd")&amp;"|4",$X$44:$X$67,0)),"")&amp;IF(AND(INDEX($S$44:$S$67,MATCH(TEXT(Q25,"yyyymmdd")&amp;"|4",$X$44:$X$67,0))&lt;&gt;"",INDEX($S$44:$S$67,MATCH(TEXT(Q25,"yyyymmdd")&amp;"|4",$X$44:$X$67,0))&lt;&gt;"Planned")," • "&amp;INDEX($S$44:$S$67,MATCH(TEXT(Q25,"yyyymmdd")&amp;"|4",$X$44:$X$67,0)),""),"")</x:f>
        <x:v>[Planning] Next-month assumptions finalized • 3:00 PM — FP&amp;A</x:v>
      </x:c>
      <x:c r="R29" s="58"/>
      <x:c r="S29" s="59"/>
      <x:c r="T29" s="57" t="str">
        <x:f t="array" ref="T29">IFERROR("["&amp;INDEX($D$44:$D$67,MATCH(TEXT(T25,"yyyymmdd")&amp;"|4",$X$44:$X$67,0))&amp;"] "&amp;INDEX($G$44:$G$67,MATCH(TEXT(T25,"yyyymmdd")&amp;"|4",$X$44:$X$67,0))&amp;IF(INDEX($Q$44:$Q$67,MATCH(TEXT(T25,"yyyymmdd")&amp;"|4",$X$44:$X$67,0))&lt;&gt;""," • "&amp;INDEX($Q$44:$Q$67,MATCH(TEXT(T25,"yyyymmdd")&amp;"|4",$X$44:$X$67,0)),"")&amp;IF(INDEX($N$44:$N$67,MATCH(TEXT(T25,"yyyymmdd")&amp;"|4",$X$44:$X$67,0))&lt;&gt;""," — "&amp;INDEX($N$44:$N$67,MATCH(TEXT(T25,"yyyymmdd")&amp;"|4",$X$44:$X$67,0)),"")&amp;IF(AND(INDEX($S$44:$S$67,MATCH(TEXT(T25,"yyyymmdd")&amp;"|4",$X$44:$X$67,0))&lt;&gt;"",INDEX($S$44:$S$67,MATCH(TEXT(T25,"yyyymmdd")&amp;"|4",$X$44:$X$67,0))&lt;&gt;"Planned")," • "&amp;INDEX($S$44:$S$67,MATCH(TEXT(T25,"yyyymmdd")&amp;"|4",$X$44:$X$67,0)),""),"")</x:f>
      </x:c>
      <x:c r="U29" s="58"/>
      <x:c r="V29" s="59"/>
      <x:c r="W29" s="24"/>
      <x:c r="X29" s="24"/>
    </x:row>
    <x:row r="30" ht="12.75" customHeight="1">
      <x:c r="B30" s="66" t="n">
        <x:f>DATE($T$3,$X$2,1)-WEEKDAY(DATE($T$3,$X$2,1),1)+1+28</x:f>
        <x:v>46201</x:v>
      </x:c>
      <x:c r="C30" s="58"/>
      <x:c r="D30" s="59"/>
      <x:c r="E30" s="67" t="n">
        <x:f>DATE($T$3,$X$2,1)-WEEKDAY(DATE($T$3,$X$2,1),1)+1+29</x:f>
        <x:v>46202</x:v>
      </x:c>
      <x:c r="F30" s="58"/>
      <x:c r="G30" s="59"/>
      <x:c r="H30" s="67" t="n">
        <x:f>DATE($T$3,$X$2,1)-WEEKDAY(DATE($T$3,$X$2,1),1)+1+30</x:f>
        <x:v>46203</x:v>
      </x:c>
      <x:c r="I30" s="58"/>
      <x:c r="J30" s="59"/>
      <x:c r="K30" s="67" t="n">
        <x:f>DATE($T$3,$X$2,1)-WEEKDAY(DATE($T$3,$X$2,1),1)+1+31</x:f>
        <x:v>46204</x:v>
      </x:c>
      <x:c r="L30" s="58"/>
      <x:c r="M30" s="59"/>
      <x:c r="N30" s="67" t="n">
        <x:f>DATE($T$3,$X$2,1)-WEEKDAY(DATE($T$3,$X$2,1),1)+1+32</x:f>
        <x:v>46205</x:v>
      </x:c>
      <x:c r="O30" s="58"/>
      <x:c r="P30" s="59"/>
      <x:c r="Q30" s="67" t="n">
        <x:f>DATE($T$3,$X$2,1)-WEEKDAY(DATE($T$3,$X$2,1),1)+1+33</x:f>
        <x:v>46206</x:v>
      </x:c>
      <x:c r="R30" s="58"/>
      <x:c r="S30" s="59"/>
      <x:c r="T30" s="66" t="n">
        <x:f>DATE($T$3,$X$2,1)-WEEKDAY(DATE($T$3,$X$2,1),1)+1+34</x:f>
        <x:v>46207</x:v>
      </x:c>
      <x:c r="U30" s="58"/>
      <x:c r="V30" s="59"/>
      <x:c r="W30" s="24"/>
      <x:c r="X30" s="24"/>
    </x:row>
    <x:row r="31" ht="16.5" customHeight="1">
      <x:c r="B31" s="57" t="str">
        <x:f t="array" ref="B31">IFERROR("["&amp;INDEX($D$44:$D$67,MATCH(TEXT(B30,"yyyymmdd")&amp;"|1",$X$44:$X$67,0))&amp;"] "&amp;INDEX($G$44:$G$67,MATCH(TEXT(B30,"yyyymmdd")&amp;"|1",$X$44:$X$67,0))&amp;IF(INDEX($Q$44:$Q$67,MATCH(TEXT(B30,"yyyymmdd")&amp;"|1",$X$44:$X$67,0))&lt;&gt;""," • "&amp;INDEX($Q$44:$Q$67,MATCH(TEXT(B30,"yyyymmdd")&amp;"|1",$X$44:$X$67,0)),"")&amp;IF(INDEX($N$44:$N$67,MATCH(TEXT(B30,"yyyymmdd")&amp;"|1",$X$44:$X$67,0))&lt;&gt;""," — "&amp;INDEX($N$44:$N$67,MATCH(TEXT(B30,"yyyymmdd")&amp;"|1",$X$44:$X$67,0)),"")&amp;IF(AND(INDEX($S$44:$S$67,MATCH(TEXT(B30,"yyyymmdd")&amp;"|1",$X$44:$X$67,0))&lt;&gt;"",INDEX($S$44:$S$67,MATCH(TEXT(B30,"yyyymmdd")&amp;"|1",$X$44:$X$67,0))&lt;&gt;"Planned")," • "&amp;INDEX($S$44:$S$67,MATCH(TEXT(B30,"yyyymmdd")&amp;"|1",$X$44:$X$67,0)),""),"")</x:f>
        <x:v>[Close] Prior-month data cutoff and close kickoff • 9:00 AM — Accounting</x:v>
      </x:c>
      <x:c r="C31" s="58"/>
      <x:c r="D31" s="59"/>
      <x:c r="E31" s="60" t="str">
        <x:f t="array" ref="E31">IFERROR("["&amp;INDEX($D$44:$D$67,MATCH(TEXT(E30,"yyyymmdd")&amp;"|1",$X$44:$X$67,0))&amp;"] "&amp;INDEX($G$44:$G$67,MATCH(TEXT(E30,"yyyymmdd")&amp;"|1",$X$44:$X$67,0))&amp;IF(INDEX($Q$44:$Q$67,MATCH(TEXT(E30,"yyyymmdd")&amp;"|1",$X$44:$X$67,0))&lt;&gt;""," • "&amp;INDEX($Q$44:$Q$67,MATCH(TEXT(E30,"yyyymmdd")&amp;"|1",$X$44:$X$67,0)),"")&amp;IF(INDEX($N$44:$N$67,MATCH(TEXT(E30,"yyyymmdd")&amp;"|1",$X$44:$X$67,0))&lt;&gt;""," — "&amp;INDEX($N$44:$N$67,MATCH(TEXT(E30,"yyyymmdd")&amp;"|1",$X$44:$X$67,0)),"")&amp;IF(AND(INDEX($S$44:$S$67,MATCH(TEXT(E30,"yyyymmdd")&amp;"|1",$X$44:$X$67,0))&lt;&gt;"",INDEX($S$44:$S$67,MATCH(TEXT(E30,"yyyymmdd")&amp;"|1",$X$44:$X$67,0))&lt;&gt;"Planned")," • "&amp;INDEX($S$44:$S$67,MATCH(TEXT(E30,"yyyymmdd")&amp;"|1",$X$44:$X$67,0)),""),"")</x:f>
        <x:v>[Close] Prior-month data cutoff and close kickoff • 9:00 AM — Accounting</x:v>
      </x:c>
      <x:c r="F31" s="58"/>
      <x:c r="G31" s="59"/>
      <x:c r="H31" s="60" t="str">
        <x:f t="array" ref="H31">IFERROR("["&amp;INDEX($D$44:$D$67,MATCH(TEXT(H30,"yyyymmdd")&amp;"|1",$X$44:$X$67,0))&amp;"] "&amp;INDEX($G$44:$G$67,MATCH(TEXT(H30,"yyyymmdd")&amp;"|1",$X$44:$X$67,0))&amp;IF(INDEX($Q$44:$Q$67,MATCH(TEXT(H30,"yyyymmdd")&amp;"|1",$X$44:$X$67,0))&lt;&gt;""," • "&amp;INDEX($Q$44:$Q$67,MATCH(TEXT(H30,"yyyymmdd")&amp;"|1",$X$44:$X$67,0)),"")&amp;IF(INDEX($N$44:$N$67,MATCH(TEXT(H30,"yyyymmdd")&amp;"|1",$X$44:$X$67,0))&lt;&gt;""," — "&amp;INDEX($N$44:$N$67,MATCH(TEXT(H30,"yyyymmdd")&amp;"|1",$X$44:$X$67,0)),"")&amp;IF(AND(INDEX($S$44:$S$67,MATCH(TEXT(H30,"yyyymmdd")&amp;"|1",$X$44:$X$67,0))&lt;&gt;"",INDEX($S$44:$S$67,MATCH(TEXT(H30,"yyyymmdd")&amp;"|1",$X$44:$X$67,0))&lt;&gt;"Planned")," • "&amp;INDEX($S$44:$S$67,MATCH(TEXT(H30,"yyyymmdd")&amp;"|1",$X$44:$X$67,0)),""),"")</x:f>
        <x:v>[Close] Prior-month data cutoff and close kickoff • 9:00 AM — Accounting</x:v>
      </x:c>
      <x:c r="I31" s="58"/>
      <x:c r="J31" s="59"/>
      <x:c r="K31" s="60" t="str">
        <x:f t="array" ref="K31">IFERROR("["&amp;INDEX($D$44:$D$67,MATCH(TEXT(K30,"yyyymmdd")&amp;"|1",$X$44:$X$67,0))&amp;"] "&amp;INDEX($G$44:$G$67,MATCH(TEXT(K30,"yyyymmdd")&amp;"|1",$X$44:$X$67,0))&amp;IF(INDEX($Q$44:$Q$67,MATCH(TEXT(K30,"yyyymmdd")&amp;"|1",$X$44:$X$67,0))&lt;&gt;""," • "&amp;INDEX($Q$44:$Q$67,MATCH(TEXT(K30,"yyyymmdd")&amp;"|1",$X$44:$X$67,0)),"")&amp;IF(INDEX($N$44:$N$67,MATCH(TEXT(K30,"yyyymmdd")&amp;"|1",$X$44:$X$67,0))&lt;&gt;""," — "&amp;INDEX($N$44:$N$67,MATCH(TEXT(K30,"yyyymmdd")&amp;"|1",$X$44:$X$67,0)),"")&amp;IF(AND(INDEX($S$44:$S$67,MATCH(TEXT(K30,"yyyymmdd")&amp;"|1",$X$44:$X$67,0))&lt;&gt;"",INDEX($S$44:$S$67,MATCH(TEXT(K30,"yyyymmdd")&amp;"|1",$X$44:$X$67,0))&lt;&gt;"Planned")," • "&amp;INDEX($S$44:$S$67,MATCH(TEXT(K30,"yyyymmdd")&amp;"|1",$X$44:$X$67,0)),""),"")</x:f>
        <x:v>[Close] Prior-month data cutoff and close kickoff • 9:00 AM — Accounting</x:v>
      </x:c>
      <x:c r="L31" s="58"/>
      <x:c r="M31" s="59"/>
      <x:c r="N31" s="60" t="str">
        <x:f t="array" ref="N31">IFERROR("["&amp;INDEX($D$44:$D$67,MATCH(TEXT(N30,"yyyymmdd")&amp;"|1",$X$44:$X$67,0))&amp;"] "&amp;INDEX($G$44:$G$67,MATCH(TEXT(N30,"yyyymmdd")&amp;"|1",$X$44:$X$67,0))&amp;IF(INDEX($Q$44:$Q$67,MATCH(TEXT(N30,"yyyymmdd")&amp;"|1",$X$44:$X$67,0))&lt;&gt;""," • "&amp;INDEX($Q$44:$Q$67,MATCH(TEXT(N30,"yyyymmdd")&amp;"|1",$X$44:$X$67,0)),"")&amp;IF(INDEX($N$44:$N$67,MATCH(TEXT(N30,"yyyymmdd")&amp;"|1",$X$44:$X$67,0))&lt;&gt;""," — "&amp;INDEX($N$44:$N$67,MATCH(TEXT(N30,"yyyymmdd")&amp;"|1",$X$44:$X$67,0)),"")&amp;IF(AND(INDEX($S$44:$S$67,MATCH(TEXT(N30,"yyyymmdd")&amp;"|1",$X$44:$X$67,0))&lt;&gt;"",INDEX($S$44:$S$67,MATCH(TEXT(N30,"yyyymmdd")&amp;"|1",$X$44:$X$67,0))&lt;&gt;"Planned")," • "&amp;INDEX($S$44:$S$67,MATCH(TEXT(N30,"yyyymmdd")&amp;"|1",$X$44:$X$67,0)),""),"")</x:f>
        <x:v>[Close] Prior-month data cutoff and close kickoff • 9:00 AM — Accounting</x:v>
      </x:c>
      <x:c r="O31" s="58"/>
      <x:c r="P31" s="59"/>
      <x:c r="Q31" s="60" t="str">
        <x:f t="array" ref="Q31">IFERROR("["&amp;INDEX($D$44:$D$67,MATCH(TEXT(Q30,"yyyymmdd")&amp;"|1",$X$44:$X$67,0))&amp;"] "&amp;INDEX($G$44:$G$67,MATCH(TEXT(Q30,"yyyymmdd")&amp;"|1",$X$44:$X$67,0))&amp;IF(INDEX($Q$44:$Q$67,MATCH(TEXT(Q30,"yyyymmdd")&amp;"|1",$X$44:$X$67,0))&lt;&gt;""," • "&amp;INDEX($Q$44:$Q$67,MATCH(TEXT(Q30,"yyyymmdd")&amp;"|1",$X$44:$X$67,0)),"")&amp;IF(INDEX($N$44:$N$67,MATCH(TEXT(Q30,"yyyymmdd")&amp;"|1",$X$44:$X$67,0))&lt;&gt;""," — "&amp;INDEX($N$44:$N$67,MATCH(TEXT(Q30,"yyyymmdd")&amp;"|1",$X$44:$X$67,0)),"")&amp;IF(AND(INDEX($S$44:$S$67,MATCH(TEXT(Q30,"yyyymmdd")&amp;"|1",$X$44:$X$67,0))&lt;&gt;"",INDEX($S$44:$S$67,MATCH(TEXT(Q30,"yyyymmdd")&amp;"|1",$X$44:$X$67,0))&lt;&gt;"Planned")," • "&amp;INDEX($S$44:$S$67,MATCH(TEXT(Q30,"yyyymmdd")&amp;"|1",$X$44:$X$67,0)),""),"")</x:f>
        <x:v>[Close] Prior-month data cutoff and close kickoff • 9:00 AM — Accounting</x:v>
      </x:c>
      <x:c r="R31" s="58"/>
      <x:c r="S31" s="59"/>
      <x:c r="T31" s="57" t="str">
        <x:f t="array" ref="T31">IFERROR("["&amp;INDEX($D$44:$D$67,MATCH(TEXT(T30,"yyyymmdd")&amp;"|1",$X$44:$X$67,0))&amp;"] "&amp;INDEX($G$44:$G$67,MATCH(TEXT(T30,"yyyymmdd")&amp;"|1",$X$44:$X$67,0))&amp;IF(INDEX($Q$44:$Q$67,MATCH(TEXT(T30,"yyyymmdd")&amp;"|1",$X$44:$X$67,0))&lt;&gt;""," • "&amp;INDEX($Q$44:$Q$67,MATCH(TEXT(T30,"yyyymmdd")&amp;"|1",$X$44:$X$67,0)),"")&amp;IF(INDEX($N$44:$N$67,MATCH(TEXT(T30,"yyyymmdd")&amp;"|1",$X$44:$X$67,0))&lt;&gt;""," — "&amp;INDEX($N$44:$N$67,MATCH(TEXT(T30,"yyyymmdd")&amp;"|1",$X$44:$X$67,0)),"")&amp;IF(AND(INDEX($S$44:$S$67,MATCH(TEXT(T30,"yyyymmdd")&amp;"|1",$X$44:$X$67,0))&lt;&gt;"",INDEX($S$44:$S$67,MATCH(TEXT(T30,"yyyymmdd")&amp;"|1",$X$44:$X$67,0))&lt;&gt;"Planned")," • "&amp;INDEX($S$44:$S$67,MATCH(TEXT(T30,"yyyymmdd")&amp;"|1",$X$44:$X$67,0)),""),"")</x:f>
        <x:v>[Close] Prior-month data cutoff and close kickoff • 9:00 AM — Accounting</x:v>
      </x:c>
      <x:c r="U31" s="58"/>
      <x:c r="V31" s="59"/>
      <x:c r="W31" s="24"/>
      <x:c r="X31" s="24"/>
    </x:row>
    <x:row r="32" ht="16.5" customHeight="1">
      <x:c r="B32" s="57" t="str">
        <x:f t="array" ref="B32">IFERROR("["&amp;INDEX($D$44:$D$67,MATCH(TEXT(B30,"yyyymmdd")&amp;"|2",$X$44:$X$67,0))&amp;"] "&amp;INDEX($G$44:$G$67,MATCH(TEXT(B30,"yyyymmdd")&amp;"|2",$X$44:$X$67,0))&amp;IF(INDEX($Q$44:$Q$67,MATCH(TEXT(B30,"yyyymmdd")&amp;"|2",$X$44:$X$67,0))&lt;&gt;""," • "&amp;INDEX($Q$44:$Q$67,MATCH(TEXT(B30,"yyyymmdd")&amp;"|2",$X$44:$X$67,0)),"")&amp;IF(INDEX($N$44:$N$67,MATCH(TEXT(B30,"yyyymmdd")&amp;"|2",$X$44:$X$67,0))&lt;&gt;""," — "&amp;INDEX($N$44:$N$67,MATCH(TEXT(B30,"yyyymmdd")&amp;"|2",$X$44:$X$67,0)),"")&amp;IF(AND(INDEX($S$44:$S$67,MATCH(TEXT(B30,"yyyymmdd")&amp;"|2",$X$44:$X$67,0))&lt;&gt;"",INDEX($S$44:$S$67,MATCH(TEXT(B30,"yyyymmdd")&amp;"|2",$X$44:$X$67,0))&lt;&gt;"Planned")," • "&amp;INDEX($S$44:$S$67,MATCH(TEXT(B30,"yyyymmdd")&amp;"|2",$X$44:$X$67,0)),""),"")</x:f>
      </x:c>
      <x:c r="C32" s="58"/>
      <x:c r="D32" s="59"/>
      <x:c r="E32" s="60" t="str">
        <x:f t="array" ref="E32">IFERROR("["&amp;INDEX($D$44:$D$67,MATCH(TEXT(E30,"yyyymmdd")&amp;"|2",$X$44:$X$67,0))&amp;"] "&amp;INDEX($G$44:$G$67,MATCH(TEXT(E30,"yyyymmdd")&amp;"|2",$X$44:$X$67,0))&amp;IF(INDEX($Q$44:$Q$67,MATCH(TEXT(E30,"yyyymmdd")&amp;"|2",$X$44:$X$67,0))&lt;&gt;""," • "&amp;INDEX($Q$44:$Q$67,MATCH(TEXT(E30,"yyyymmdd")&amp;"|2",$X$44:$X$67,0)),"")&amp;IF(INDEX($N$44:$N$67,MATCH(TEXT(E30,"yyyymmdd")&amp;"|2",$X$44:$X$67,0))&lt;&gt;""," — "&amp;INDEX($N$44:$N$67,MATCH(TEXT(E30,"yyyymmdd")&amp;"|2",$X$44:$X$67,0)),"")&amp;IF(AND(INDEX($S$44:$S$67,MATCH(TEXT(E30,"yyyymmdd")&amp;"|2",$X$44:$X$67,0))&lt;&gt;"",INDEX($S$44:$S$67,MATCH(TEXT(E30,"yyyymmdd")&amp;"|2",$X$44:$X$67,0))&lt;&gt;"Planned")," • "&amp;INDEX($S$44:$S$67,MATCH(TEXT(E30,"yyyymmdd")&amp;"|2",$X$44:$X$67,0)),""),"")</x:f>
      </x:c>
      <x:c r="F32" s="58"/>
      <x:c r="G32" s="59"/>
      <x:c r="H32" s="60" t="str">
        <x:f t="array" ref="H32">IFERROR("["&amp;INDEX($D$44:$D$67,MATCH(TEXT(H30,"yyyymmdd")&amp;"|2",$X$44:$X$67,0))&amp;"] "&amp;INDEX($G$44:$G$67,MATCH(TEXT(H30,"yyyymmdd")&amp;"|2",$X$44:$X$67,0))&amp;IF(INDEX($Q$44:$Q$67,MATCH(TEXT(H30,"yyyymmdd")&amp;"|2",$X$44:$X$67,0))&lt;&gt;""," • "&amp;INDEX($Q$44:$Q$67,MATCH(TEXT(H30,"yyyymmdd")&amp;"|2",$X$44:$X$67,0)),"")&amp;IF(INDEX($N$44:$N$67,MATCH(TEXT(H30,"yyyymmdd")&amp;"|2",$X$44:$X$67,0))&lt;&gt;""," — "&amp;INDEX($N$44:$N$67,MATCH(TEXT(H30,"yyyymmdd")&amp;"|2",$X$44:$X$67,0)),"")&amp;IF(AND(INDEX($S$44:$S$67,MATCH(TEXT(H30,"yyyymmdd")&amp;"|2",$X$44:$X$67,0))&lt;&gt;"",INDEX($S$44:$S$67,MATCH(TEXT(H30,"yyyymmdd")&amp;"|2",$X$44:$X$67,0))&lt;&gt;"Planned")," • "&amp;INDEX($S$44:$S$67,MATCH(TEXT(H30,"yyyymmdd")&amp;"|2",$X$44:$X$67,0)),""),"")</x:f>
        <x:v>[Operations] Next-month readiness check • 4:00 PM — Finance Operations</x:v>
      </x:c>
      <x:c r="I32" s="58"/>
      <x:c r="J32" s="59"/>
      <x:c r="K32" s="60" t="str">
        <x:f t="array" ref="K32">IFERROR("["&amp;INDEX($D$44:$D$67,MATCH(TEXT(K30,"yyyymmdd")&amp;"|2",$X$44:$X$67,0))&amp;"] "&amp;INDEX($G$44:$G$67,MATCH(TEXT(K30,"yyyymmdd")&amp;"|2",$X$44:$X$67,0))&amp;IF(INDEX($Q$44:$Q$67,MATCH(TEXT(K30,"yyyymmdd")&amp;"|2",$X$44:$X$67,0))&lt;&gt;""," • "&amp;INDEX($Q$44:$Q$67,MATCH(TEXT(K30,"yyyymmdd")&amp;"|2",$X$44:$X$67,0)),"")&amp;IF(INDEX($N$44:$N$67,MATCH(TEXT(K30,"yyyymmdd")&amp;"|2",$X$44:$X$67,0))&lt;&gt;""," — "&amp;INDEX($N$44:$N$67,MATCH(TEXT(K30,"yyyymmdd")&amp;"|2",$X$44:$X$67,0)),"")&amp;IF(AND(INDEX($S$44:$S$67,MATCH(TEXT(K30,"yyyymmdd")&amp;"|2",$X$44:$X$67,0))&lt;&gt;"",INDEX($S$44:$S$67,MATCH(TEXT(K30,"yyyymmdd")&amp;"|2",$X$44:$X$67,0))&lt;&gt;"Planned")," • "&amp;INDEX($S$44:$S$67,MATCH(TEXT(K30,"yyyymmdd")&amp;"|2",$X$44:$X$67,0)),""),"")</x:f>
      </x:c>
      <x:c r="L32" s="58"/>
      <x:c r="M32" s="59"/>
      <x:c r="N32" s="60" t="str">
        <x:f t="array" ref="N32">IFERROR("["&amp;INDEX($D$44:$D$67,MATCH(TEXT(N30,"yyyymmdd")&amp;"|2",$X$44:$X$67,0))&amp;"] "&amp;INDEX($G$44:$G$67,MATCH(TEXT(N30,"yyyymmdd")&amp;"|2",$X$44:$X$67,0))&amp;IF(INDEX($Q$44:$Q$67,MATCH(TEXT(N30,"yyyymmdd")&amp;"|2",$X$44:$X$67,0))&lt;&gt;""," • "&amp;INDEX($Q$44:$Q$67,MATCH(TEXT(N30,"yyyymmdd")&amp;"|2",$X$44:$X$67,0)),"")&amp;IF(INDEX($N$44:$N$67,MATCH(TEXT(N30,"yyyymmdd")&amp;"|2",$X$44:$X$67,0))&lt;&gt;""," — "&amp;INDEX($N$44:$N$67,MATCH(TEXT(N30,"yyyymmdd")&amp;"|2",$X$44:$X$67,0)),"")&amp;IF(AND(INDEX($S$44:$S$67,MATCH(TEXT(N30,"yyyymmdd")&amp;"|2",$X$44:$X$67,0))&lt;&gt;"",INDEX($S$44:$S$67,MATCH(TEXT(N30,"yyyymmdd")&amp;"|2",$X$44:$X$67,0))&lt;&gt;"Planned")," • "&amp;INDEX($S$44:$S$67,MATCH(TEXT(N30,"yyyymmdd")&amp;"|2",$X$44:$X$67,0)),""),"")</x:f>
      </x:c>
      <x:c r="O32" s="58"/>
      <x:c r="P32" s="59"/>
      <x:c r="Q32" s="60" t="str">
        <x:f t="array" ref="Q32">IFERROR("["&amp;INDEX($D$44:$D$67,MATCH(TEXT(Q30,"yyyymmdd")&amp;"|2",$X$44:$X$67,0))&amp;"] "&amp;INDEX($G$44:$G$67,MATCH(TEXT(Q30,"yyyymmdd")&amp;"|2",$X$44:$X$67,0))&amp;IF(INDEX($Q$44:$Q$67,MATCH(TEXT(Q30,"yyyymmdd")&amp;"|2",$X$44:$X$67,0))&lt;&gt;""," • "&amp;INDEX($Q$44:$Q$67,MATCH(TEXT(Q30,"yyyymmdd")&amp;"|2",$X$44:$X$67,0)),"")&amp;IF(INDEX($N$44:$N$67,MATCH(TEXT(Q30,"yyyymmdd")&amp;"|2",$X$44:$X$67,0))&lt;&gt;""," — "&amp;INDEX($N$44:$N$67,MATCH(TEXT(Q30,"yyyymmdd")&amp;"|2",$X$44:$X$67,0)),"")&amp;IF(AND(INDEX($S$44:$S$67,MATCH(TEXT(Q30,"yyyymmdd")&amp;"|2",$X$44:$X$67,0))&lt;&gt;"",INDEX($S$44:$S$67,MATCH(TEXT(Q30,"yyyymmdd")&amp;"|2",$X$44:$X$67,0))&lt;&gt;"Planned")," • "&amp;INDEX($S$44:$S$67,MATCH(TEXT(Q30,"yyyymmdd")&amp;"|2",$X$44:$X$67,0)),""),"")</x:f>
      </x:c>
      <x:c r="R32" s="58"/>
      <x:c r="S32" s="59"/>
      <x:c r="T32" s="57" t="str">
        <x:f t="array" ref="T32">IFERROR("["&amp;INDEX($D$44:$D$67,MATCH(TEXT(T30,"yyyymmdd")&amp;"|2",$X$44:$X$67,0))&amp;"] "&amp;INDEX($G$44:$G$67,MATCH(TEXT(T30,"yyyymmdd")&amp;"|2",$X$44:$X$67,0))&amp;IF(INDEX($Q$44:$Q$67,MATCH(TEXT(T30,"yyyymmdd")&amp;"|2",$X$44:$X$67,0))&lt;&gt;""," • "&amp;INDEX($Q$44:$Q$67,MATCH(TEXT(T30,"yyyymmdd")&amp;"|2",$X$44:$X$67,0)),"")&amp;IF(INDEX($N$44:$N$67,MATCH(TEXT(T30,"yyyymmdd")&amp;"|2",$X$44:$X$67,0))&lt;&gt;""," — "&amp;INDEX($N$44:$N$67,MATCH(TEXT(T30,"yyyymmdd")&amp;"|2",$X$44:$X$67,0)),"")&amp;IF(AND(INDEX($S$44:$S$67,MATCH(TEXT(T30,"yyyymmdd")&amp;"|2",$X$44:$X$67,0))&lt;&gt;"",INDEX($S$44:$S$67,MATCH(TEXT(T30,"yyyymmdd")&amp;"|2",$X$44:$X$67,0))&lt;&gt;"Planned")," • "&amp;INDEX($S$44:$S$67,MATCH(TEXT(T30,"yyyymmdd")&amp;"|2",$X$44:$X$67,0)),""),"")</x:f>
      </x:c>
      <x:c r="U32" s="58"/>
      <x:c r="V32" s="59"/>
      <x:c r="W32" s="24"/>
      <x:c r="X32" s="24"/>
    </x:row>
    <x:row r="33" ht="16.5" customHeight="1">
      <x:c r="B33" s="57" t="str">
        <x:f t="array" ref="B33">IFERROR("["&amp;INDEX($D$44:$D$67,MATCH(TEXT(B30,"yyyymmdd")&amp;"|3",$X$44:$X$67,0))&amp;"] "&amp;INDEX($G$44:$G$67,MATCH(TEXT(B30,"yyyymmdd")&amp;"|3",$X$44:$X$67,0))&amp;IF(INDEX($Q$44:$Q$67,MATCH(TEXT(B30,"yyyymmdd")&amp;"|3",$X$44:$X$67,0))&lt;&gt;""," • "&amp;INDEX($Q$44:$Q$67,MATCH(TEXT(B30,"yyyymmdd")&amp;"|3",$X$44:$X$67,0)),"")&amp;IF(INDEX($N$44:$N$67,MATCH(TEXT(B30,"yyyymmdd")&amp;"|3",$X$44:$X$67,0))&lt;&gt;""," — "&amp;INDEX($N$44:$N$67,MATCH(TEXT(B30,"yyyymmdd")&amp;"|3",$X$44:$X$67,0)),"")&amp;IF(AND(INDEX($S$44:$S$67,MATCH(TEXT(B30,"yyyymmdd")&amp;"|3",$X$44:$X$67,0))&lt;&gt;"",INDEX($S$44:$S$67,MATCH(TEXT(B30,"yyyymmdd")&amp;"|3",$X$44:$X$67,0))&lt;&gt;"Planned")," • "&amp;INDEX($S$44:$S$67,MATCH(TEXT(B30,"yyyymmdd")&amp;"|3",$X$44:$X$67,0)),""),"")</x:f>
      </x:c>
      <x:c r="C33" s="58"/>
      <x:c r="D33" s="59"/>
      <x:c r="E33" s="60" t="str">
        <x:f t="array" ref="E33">IFERROR("["&amp;INDEX($D$44:$D$67,MATCH(TEXT(E30,"yyyymmdd")&amp;"|3",$X$44:$X$67,0))&amp;"] "&amp;INDEX($G$44:$G$67,MATCH(TEXT(E30,"yyyymmdd")&amp;"|3",$X$44:$X$67,0))&amp;IF(INDEX($Q$44:$Q$67,MATCH(TEXT(E30,"yyyymmdd")&amp;"|3",$X$44:$X$67,0))&lt;&gt;""," • "&amp;INDEX($Q$44:$Q$67,MATCH(TEXT(E30,"yyyymmdd")&amp;"|3",$X$44:$X$67,0)),"")&amp;IF(INDEX($N$44:$N$67,MATCH(TEXT(E30,"yyyymmdd")&amp;"|3",$X$44:$X$67,0))&lt;&gt;""," — "&amp;INDEX($N$44:$N$67,MATCH(TEXT(E30,"yyyymmdd")&amp;"|3",$X$44:$X$67,0)),"")&amp;IF(AND(INDEX($S$44:$S$67,MATCH(TEXT(E30,"yyyymmdd")&amp;"|3",$X$44:$X$67,0))&lt;&gt;"",INDEX($S$44:$S$67,MATCH(TEXT(E30,"yyyymmdd")&amp;"|3",$X$44:$X$67,0))&lt;&gt;"Planned")," • "&amp;INDEX($S$44:$S$67,MATCH(TEXT(E30,"yyyymmdd")&amp;"|3",$X$44:$X$67,0)),""),"")</x:f>
      </x:c>
      <x:c r="F33" s="58"/>
      <x:c r="G33" s="59"/>
      <x:c r="H33" s="60" t="str">
        <x:f t="array" ref="H33">IFERROR("["&amp;INDEX($D$44:$D$67,MATCH(TEXT(H30,"yyyymmdd")&amp;"|3",$X$44:$X$67,0))&amp;"] "&amp;INDEX($G$44:$G$67,MATCH(TEXT(H30,"yyyymmdd")&amp;"|3",$X$44:$X$67,0))&amp;IF(INDEX($Q$44:$Q$67,MATCH(TEXT(H30,"yyyymmdd")&amp;"|3",$X$44:$X$67,0))&lt;&gt;""," • "&amp;INDEX($Q$44:$Q$67,MATCH(TEXT(H30,"yyyymmdd")&amp;"|3",$X$44:$X$67,0)),"")&amp;IF(INDEX($N$44:$N$67,MATCH(TEXT(H30,"yyyymmdd")&amp;"|3",$X$44:$X$67,0))&lt;&gt;""," — "&amp;INDEX($N$44:$N$67,MATCH(TEXT(H30,"yyyymmdd")&amp;"|3",$X$44:$X$67,0)),"")&amp;IF(AND(INDEX($S$44:$S$67,MATCH(TEXT(H30,"yyyymmdd")&amp;"|3",$X$44:$X$67,0))&lt;&gt;"",INDEX($S$44:$S$67,MATCH(TEXT(H30,"yyyymmdd")&amp;"|3",$X$44:$X$67,0))&lt;&gt;"Planned")," • "&amp;INDEX($S$44:$S$67,MATCH(TEXT(H30,"yyyymmdd")&amp;"|3",$X$44:$X$67,0)),""),"")</x:f>
        <x:v>[Operations] Next-month readiness check • 4:00 PM — Finance Operations</x:v>
      </x:c>
      <x:c r="I33" s="58"/>
      <x:c r="J33" s="59"/>
      <x:c r="K33" s="60" t="str">
        <x:f t="array" ref="K33">IFERROR("["&amp;INDEX($D$44:$D$67,MATCH(TEXT(K30,"yyyymmdd")&amp;"|3",$X$44:$X$67,0))&amp;"] "&amp;INDEX($G$44:$G$67,MATCH(TEXT(K30,"yyyymmdd")&amp;"|3",$X$44:$X$67,0))&amp;IF(INDEX($Q$44:$Q$67,MATCH(TEXT(K30,"yyyymmdd")&amp;"|3",$X$44:$X$67,0))&lt;&gt;""," • "&amp;INDEX($Q$44:$Q$67,MATCH(TEXT(K30,"yyyymmdd")&amp;"|3",$X$44:$X$67,0)),"")&amp;IF(INDEX($N$44:$N$67,MATCH(TEXT(K30,"yyyymmdd")&amp;"|3",$X$44:$X$67,0))&lt;&gt;""," — "&amp;INDEX($N$44:$N$67,MATCH(TEXT(K30,"yyyymmdd")&amp;"|3",$X$44:$X$67,0)),"")&amp;IF(AND(INDEX($S$44:$S$67,MATCH(TEXT(K30,"yyyymmdd")&amp;"|3",$X$44:$X$67,0))&lt;&gt;"",INDEX($S$44:$S$67,MATCH(TEXT(K30,"yyyymmdd")&amp;"|3",$X$44:$X$67,0))&lt;&gt;"Planned")," • "&amp;INDEX($S$44:$S$67,MATCH(TEXT(K30,"yyyymmdd")&amp;"|3",$X$44:$X$67,0)),""),"")</x:f>
      </x:c>
      <x:c r="L33" s="58"/>
      <x:c r="M33" s="59"/>
      <x:c r="N33" s="60" t="str">
        <x:f t="array" ref="N33">IFERROR("["&amp;INDEX($D$44:$D$67,MATCH(TEXT(N30,"yyyymmdd")&amp;"|3",$X$44:$X$67,0))&amp;"] "&amp;INDEX($G$44:$G$67,MATCH(TEXT(N30,"yyyymmdd")&amp;"|3",$X$44:$X$67,0))&amp;IF(INDEX($Q$44:$Q$67,MATCH(TEXT(N30,"yyyymmdd")&amp;"|3",$X$44:$X$67,0))&lt;&gt;""," • "&amp;INDEX($Q$44:$Q$67,MATCH(TEXT(N30,"yyyymmdd")&amp;"|3",$X$44:$X$67,0)),"")&amp;IF(INDEX($N$44:$N$67,MATCH(TEXT(N30,"yyyymmdd")&amp;"|3",$X$44:$X$67,0))&lt;&gt;""," — "&amp;INDEX($N$44:$N$67,MATCH(TEXT(N30,"yyyymmdd")&amp;"|3",$X$44:$X$67,0)),"")&amp;IF(AND(INDEX($S$44:$S$67,MATCH(TEXT(N30,"yyyymmdd")&amp;"|3",$X$44:$X$67,0))&lt;&gt;"",INDEX($S$44:$S$67,MATCH(TEXT(N30,"yyyymmdd")&amp;"|3",$X$44:$X$67,0))&lt;&gt;"Planned")," • "&amp;INDEX($S$44:$S$67,MATCH(TEXT(N30,"yyyymmdd")&amp;"|3",$X$44:$X$67,0)),""),"")</x:f>
      </x:c>
      <x:c r="O33" s="58"/>
      <x:c r="P33" s="59"/>
      <x:c r="Q33" s="60" t="str">
        <x:f t="array" ref="Q33">IFERROR("["&amp;INDEX($D$44:$D$67,MATCH(TEXT(Q30,"yyyymmdd")&amp;"|3",$X$44:$X$67,0))&amp;"] "&amp;INDEX($G$44:$G$67,MATCH(TEXT(Q30,"yyyymmdd")&amp;"|3",$X$44:$X$67,0))&amp;IF(INDEX($Q$44:$Q$67,MATCH(TEXT(Q30,"yyyymmdd")&amp;"|3",$X$44:$X$67,0))&lt;&gt;""," • "&amp;INDEX($Q$44:$Q$67,MATCH(TEXT(Q30,"yyyymmdd")&amp;"|3",$X$44:$X$67,0)),"")&amp;IF(INDEX($N$44:$N$67,MATCH(TEXT(Q30,"yyyymmdd")&amp;"|3",$X$44:$X$67,0))&lt;&gt;""," — "&amp;INDEX($N$44:$N$67,MATCH(TEXT(Q30,"yyyymmdd")&amp;"|3",$X$44:$X$67,0)),"")&amp;IF(AND(INDEX($S$44:$S$67,MATCH(TEXT(Q30,"yyyymmdd")&amp;"|3",$X$44:$X$67,0))&lt;&gt;"",INDEX($S$44:$S$67,MATCH(TEXT(Q30,"yyyymmdd")&amp;"|3",$X$44:$X$67,0))&lt;&gt;"Planned")," • "&amp;INDEX($S$44:$S$67,MATCH(TEXT(Q30,"yyyymmdd")&amp;"|3",$X$44:$X$67,0)),""),"")</x:f>
      </x:c>
      <x:c r="R33" s="58"/>
      <x:c r="S33" s="59"/>
      <x:c r="T33" s="57" t="str">
        <x:f t="array" ref="T33">IFERROR("["&amp;INDEX($D$44:$D$67,MATCH(TEXT(T30,"yyyymmdd")&amp;"|3",$X$44:$X$67,0))&amp;"] "&amp;INDEX($G$44:$G$67,MATCH(TEXT(T30,"yyyymmdd")&amp;"|3",$X$44:$X$67,0))&amp;IF(INDEX($Q$44:$Q$67,MATCH(TEXT(T30,"yyyymmdd")&amp;"|3",$X$44:$X$67,0))&lt;&gt;""," • "&amp;INDEX($Q$44:$Q$67,MATCH(TEXT(T30,"yyyymmdd")&amp;"|3",$X$44:$X$67,0)),"")&amp;IF(INDEX($N$44:$N$67,MATCH(TEXT(T30,"yyyymmdd")&amp;"|3",$X$44:$X$67,0))&lt;&gt;""," — "&amp;INDEX($N$44:$N$67,MATCH(TEXT(T30,"yyyymmdd")&amp;"|3",$X$44:$X$67,0)),"")&amp;IF(AND(INDEX($S$44:$S$67,MATCH(TEXT(T30,"yyyymmdd")&amp;"|3",$X$44:$X$67,0))&lt;&gt;"",INDEX($S$44:$S$67,MATCH(TEXT(T30,"yyyymmdd")&amp;"|3",$X$44:$X$67,0))&lt;&gt;"Planned")," • "&amp;INDEX($S$44:$S$67,MATCH(TEXT(T30,"yyyymmdd")&amp;"|3",$X$44:$X$67,0)),""),"")</x:f>
      </x:c>
      <x:c r="U33" s="58"/>
      <x:c r="V33" s="59"/>
      <x:c r="W33" s="24"/>
      <x:c r="X33" s="24"/>
    </x:row>
    <x:row r="34" ht="16.5" customHeight="1">
      <x:c r="B34" s="57" t="str">
        <x:f t="array" ref="B34">IFERROR("["&amp;INDEX($D$44:$D$67,MATCH(TEXT(B30,"yyyymmdd")&amp;"|4",$X$44:$X$67,0))&amp;"] "&amp;INDEX($G$44:$G$67,MATCH(TEXT(B30,"yyyymmdd")&amp;"|4",$X$44:$X$67,0))&amp;IF(INDEX($Q$44:$Q$67,MATCH(TEXT(B30,"yyyymmdd")&amp;"|4",$X$44:$X$67,0))&lt;&gt;""," • "&amp;INDEX($Q$44:$Q$67,MATCH(TEXT(B30,"yyyymmdd")&amp;"|4",$X$44:$X$67,0)),"")&amp;IF(INDEX($N$44:$N$67,MATCH(TEXT(B30,"yyyymmdd")&amp;"|4",$X$44:$X$67,0))&lt;&gt;""," — "&amp;INDEX($N$44:$N$67,MATCH(TEXT(B30,"yyyymmdd")&amp;"|4",$X$44:$X$67,0)),"")&amp;IF(AND(INDEX($S$44:$S$67,MATCH(TEXT(B30,"yyyymmdd")&amp;"|4",$X$44:$X$67,0))&lt;&gt;"",INDEX($S$44:$S$67,MATCH(TEXT(B30,"yyyymmdd")&amp;"|4",$X$44:$X$67,0))&lt;&gt;"Planned")," • "&amp;INDEX($S$44:$S$67,MATCH(TEXT(B30,"yyyymmdd")&amp;"|4",$X$44:$X$67,0)),""),"")</x:f>
      </x:c>
      <x:c r="C34" s="58"/>
      <x:c r="D34" s="59"/>
      <x:c r="E34" s="60" t="str">
        <x:f t="array" ref="E34">IFERROR("["&amp;INDEX($D$44:$D$67,MATCH(TEXT(E30,"yyyymmdd")&amp;"|4",$X$44:$X$67,0))&amp;"] "&amp;INDEX($G$44:$G$67,MATCH(TEXT(E30,"yyyymmdd")&amp;"|4",$X$44:$X$67,0))&amp;IF(INDEX($Q$44:$Q$67,MATCH(TEXT(E30,"yyyymmdd")&amp;"|4",$X$44:$X$67,0))&lt;&gt;""," • "&amp;INDEX($Q$44:$Q$67,MATCH(TEXT(E30,"yyyymmdd")&amp;"|4",$X$44:$X$67,0)),"")&amp;IF(INDEX($N$44:$N$67,MATCH(TEXT(E30,"yyyymmdd")&amp;"|4",$X$44:$X$67,0))&lt;&gt;""," — "&amp;INDEX($N$44:$N$67,MATCH(TEXT(E30,"yyyymmdd")&amp;"|4",$X$44:$X$67,0)),"")&amp;IF(AND(INDEX($S$44:$S$67,MATCH(TEXT(E30,"yyyymmdd")&amp;"|4",$X$44:$X$67,0))&lt;&gt;"",INDEX($S$44:$S$67,MATCH(TEXT(E30,"yyyymmdd")&amp;"|4",$X$44:$X$67,0))&lt;&gt;"Planned")," • "&amp;INDEX($S$44:$S$67,MATCH(TEXT(E30,"yyyymmdd")&amp;"|4",$X$44:$X$67,0)),""),"")</x:f>
      </x:c>
      <x:c r="F34" s="58"/>
      <x:c r="G34" s="59"/>
      <x:c r="H34" s="60" t="str">
        <x:f t="array" ref="H34">IFERROR("["&amp;INDEX($D$44:$D$67,MATCH(TEXT(H30,"yyyymmdd")&amp;"|4",$X$44:$X$67,0))&amp;"] "&amp;INDEX($G$44:$G$67,MATCH(TEXT(H30,"yyyymmdd")&amp;"|4",$X$44:$X$67,0))&amp;IF(INDEX($Q$44:$Q$67,MATCH(TEXT(H30,"yyyymmdd")&amp;"|4",$X$44:$X$67,0))&lt;&gt;""," • "&amp;INDEX($Q$44:$Q$67,MATCH(TEXT(H30,"yyyymmdd")&amp;"|4",$X$44:$X$67,0)),"")&amp;IF(INDEX($N$44:$N$67,MATCH(TEXT(H30,"yyyymmdd")&amp;"|4",$X$44:$X$67,0))&lt;&gt;""," — "&amp;INDEX($N$44:$N$67,MATCH(TEXT(H30,"yyyymmdd")&amp;"|4",$X$44:$X$67,0)),"")&amp;IF(AND(INDEX($S$44:$S$67,MATCH(TEXT(H30,"yyyymmdd")&amp;"|4",$X$44:$X$67,0))&lt;&gt;"",INDEX($S$44:$S$67,MATCH(TEXT(H30,"yyyymmdd")&amp;"|4",$X$44:$X$67,0))&lt;&gt;"Planned")," • "&amp;INDEX($S$44:$S$67,MATCH(TEXT(H30,"yyyymmdd")&amp;"|4",$X$44:$X$67,0)),""),"")</x:f>
        <x:v>[Operations] Next-month readiness check • 4:00 PM — Finance Operations</x:v>
      </x:c>
      <x:c r="I34" s="58"/>
      <x:c r="J34" s="59"/>
      <x:c r="K34" s="60" t="str">
        <x:f t="array" ref="K34">IFERROR("["&amp;INDEX($D$44:$D$67,MATCH(TEXT(K30,"yyyymmdd")&amp;"|4",$X$44:$X$67,0))&amp;"] "&amp;INDEX($G$44:$G$67,MATCH(TEXT(K30,"yyyymmdd")&amp;"|4",$X$44:$X$67,0))&amp;IF(INDEX($Q$44:$Q$67,MATCH(TEXT(K30,"yyyymmdd")&amp;"|4",$X$44:$X$67,0))&lt;&gt;""," • "&amp;INDEX($Q$44:$Q$67,MATCH(TEXT(K30,"yyyymmdd")&amp;"|4",$X$44:$X$67,0)),"")&amp;IF(INDEX($N$44:$N$67,MATCH(TEXT(K30,"yyyymmdd")&amp;"|4",$X$44:$X$67,0))&lt;&gt;""," — "&amp;INDEX($N$44:$N$67,MATCH(TEXT(K30,"yyyymmdd")&amp;"|4",$X$44:$X$67,0)),"")&amp;IF(AND(INDEX($S$44:$S$67,MATCH(TEXT(K30,"yyyymmdd")&amp;"|4",$X$44:$X$67,0))&lt;&gt;"",INDEX($S$44:$S$67,MATCH(TEXT(K30,"yyyymmdd")&amp;"|4",$X$44:$X$67,0))&lt;&gt;"Planned")," • "&amp;INDEX($S$44:$S$67,MATCH(TEXT(K30,"yyyymmdd")&amp;"|4",$X$44:$X$67,0)),""),"")</x:f>
      </x:c>
      <x:c r="L34" s="58"/>
      <x:c r="M34" s="59"/>
      <x:c r="N34" s="60" t="str">
        <x:f t="array" ref="N34">IFERROR("["&amp;INDEX($D$44:$D$67,MATCH(TEXT(N30,"yyyymmdd")&amp;"|4",$X$44:$X$67,0))&amp;"] "&amp;INDEX($G$44:$G$67,MATCH(TEXT(N30,"yyyymmdd")&amp;"|4",$X$44:$X$67,0))&amp;IF(INDEX($Q$44:$Q$67,MATCH(TEXT(N30,"yyyymmdd")&amp;"|4",$X$44:$X$67,0))&lt;&gt;""," • "&amp;INDEX($Q$44:$Q$67,MATCH(TEXT(N30,"yyyymmdd")&amp;"|4",$X$44:$X$67,0)),"")&amp;IF(INDEX($N$44:$N$67,MATCH(TEXT(N30,"yyyymmdd")&amp;"|4",$X$44:$X$67,0))&lt;&gt;""," — "&amp;INDEX($N$44:$N$67,MATCH(TEXT(N30,"yyyymmdd")&amp;"|4",$X$44:$X$67,0)),"")&amp;IF(AND(INDEX($S$44:$S$67,MATCH(TEXT(N30,"yyyymmdd")&amp;"|4",$X$44:$X$67,0))&lt;&gt;"",INDEX($S$44:$S$67,MATCH(TEXT(N30,"yyyymmdd")&amp;"|4",$X$44:$X$67,0))&lt;&gt;"Planned")," • "&amp;INDEX($S$44:$S$67,MATCH(TEXT(N30,"yyyymmdd")&amp;"|4",$X$44:$X$67,0)),""),"")</x:f>
      </x:c>
      <x:c r="O34" s="58"/>
      <x:c r="P34" s="59"/>
      <x:c r="Q34" s="60" t="str">
        <x:f t="array" ref="Q34">IFERROR("["&amp;INDEX($D$44:$D$67,MATCH(TEXT(Q30,"yyyymmdd")&amp;"|4",$X$44:$X$67,0))&amp;"] "&amp;INDEX($G$44:$G$67,MATCH(TEXT(Q30,"yyyymmdd")&amp;"|4",$X$44:$X$67,0))&amp;IF(INDEX($Q$44:$Q$67,MATCH(TEXT(Q30,"yyyymmdd")&amp;"|4",$X$44:$X$67,0))&lt;&gt;""," • "&amp;INDEX($Q$44:$Q$67,MATCH(TEXT(Q30,"yyyymmdd")&amp;"|4",$X$44:$X$67,0)),"")&amp;IF(INDEX($N$44:$N$67,MATCH(TEXT(Q30,"yyyymmdd")&amp;"|4",$X$44:$X$67,0))&lt;&gt;""," — "&amp;INDEX($N$44:$N$67,MATCH(TEXT(Q30,"yyyymmdd")&amp;"|4",$X$44:$X$67,0)),"")&amp;IF(AND(INDEX($S$44:$S$67,MATCH(TEXT(Q30,"yyyymmdd")&amp;"|4",$X$44:$X$67,0))&lt;&gt;"",INDEX($S$44:$S$67,MATCH(TEXT(Q30,"yyyymmdd")&amp;"|4",$X$44:$X$67,0))&lt;&gt;"Planned")," • "&amp;INDEX($S$44:$S$67,MATCH(TEXT(Q30,"yyyymmdd")&amp;"|4",$X$44:$X$67,0)),""),"")</x:f>
      </x:c>
      <x:c r="R34" s="58"/>
      <x:c r="S34" s="59"/>
      <x:c r="T34" s="57" t="str">
        <x:f t="array" ref="T34">IFERROR("["&amp;INDEX($D$44:$D$67,MATCH(TEXT(T30,"yyyymmdd")&amp;"|4",$X$44:$X$67,0))&amp;"] "&amp;INDEX($G$44:$G$67,MATCH(TEXT(T30,"yyyymmdd")&amp;"|4",$X$44:$X$67,0))&amp;IF(INDEX($Q$44:$Q$67,MATCH(TEXT(T30,"yyyymmdd")&amp;"|4",$X$44:$X$67,0))&lt;&gt;""," • "&amp;INDEX($Q$44:$Q$67,MATCH(TEXT(T30,"yyyymmdd")&amp;"|4",$X$44:$X$67,0)),"")&amp;IF(INDEX($N$44:$N$67,MATCH(TEXT(T30,"yyyymmdd")&amp;"|4",$X$44:$X$67,0))&lt;&gt;""," — "&amp;INDEX($N$44:$N$67,MATCH(TEXT(T30,"yyyymmdd")&amp;"|4",$X$44:$X$67,0)),"")&amp;IF(AND(INDEX($S$44:$S$67,MATCH(TEXT(T30,"yyyymmdd")&amp;"|4",$X$44:$X$67,0))&lt;&gt;"",INDEX($S$44:$S$67,MATCH(TEXT(T30,"yyyymmdd")&amp;"|4",$X$44:$X$67,0))&lt;&gt;"Planned")," • "&amp;INDEX($S$44:$S$67,MATCH(TEXT(T30,"yyyymmdd")&amp;"|4",$X$44:$X$67,0)),""),"")</x:f>
      </x:c>
      <x:c r="U34" s="58"/>
      <x:c r="V34" s="59"/>
      <x:c r="W34" s="24"/>
      <x:c r="X34" s="24"/>
    </x:row>
    <x:row r="35" ht="12.75" customHeight="1">
      <x:c r="B35" s="66" t="n">
        <x:f>DATE($T$3,$X$2,1)-WEEKDAY(DATE($T$3,$X$2,1),1)+1+35</x:f>
        <x:v>46208</x:v>
      </x:c>
      <x:c r="C35" s="58"/>
      <x:c r="D35" s="59"/>
      <x:c r="E35" s="67" t="n">
        <x:f>DATE($T$3,$X$2,1)-WEEKDAY(DATE($T$3,$X$2,1),1)+1+36</x:f>
        <x:v>46209</x:v>
      </x:c>
      <x:c r="F35" s="58"/>
      <x:c r="G35" s="59"/>
      <x:c r="H35" s="67" t="n">
        <x:f>DATE($T$3,$X$2,1)-WEEKDAY(DATE($T$3,$X$2,1),1)+1+37</x:f>
        <x:v>46210</x:v>
      </x:c>
      <x:c r="I35" s="58"/>
      <x:c r="J35" s="59"/>
      <x:c r="K35" s="67" t="n">
        <x:f>DATE($T$3,$X$2,1)-WEEKDAY(DATE($T$3,$X$2,1),1)+1+38</x:f>
        <x:v>46211</x:v>
      </x:c>
      <x:c r="L35" s="58"/>
      <x:c r="M35" s="59"/>
      <x:c r="N35" s="67" t="n">
        <x:f>DATE($T$3,$X$2,1)-WEEKDAY(DATE($T$3,$X$2,1),1)+1+39</x:f>
        <x:v>46212</x:v>
      </x:c>
      <x:c r="O35" s="58"/>
      <x:c r="P35" s="59"/>
      <x:c r="Q35" s="67" t="n">
        <x:f>DATE($T$3,$X$2,1)-WEEKDAY(DATE($T$3,$X$2,1),1)+1+40</x:f>
        <x:v>46213</x:v>
      </x:c>
      <x:c r="R35" s="58"/>
      <x:c r="S35" s="59"/>
      <x:c r="T35" s="66" t="n">
        <x:f>DATE($T$3,$X$2,1)-WEEKDAY(DATE($T$3,$X$2,1),1)+1+41</x:f>
        <x:v>46214</x:v>
      </x:c>
      <x:c r="U35" s="58"/>
      <x:c r="V35" s="59"/>
      <x:c r="W35" s="24"/>
      <x:c r="X35" s="24"/>
    </x:row>
    <x:row r="36" ht="16.5" customHeight="1">
      <x:c r="B36" s="57" t="str">
        <x:f t="array" ref="B36">IFERROR("["&amp;INDEX($D$44:$D$67,MATCH(TEXT(B35,"yyyymmdd")&amp;"|1",$X$44:$X$67,0))&amp;"] "&amp;INDEX($G$44:$G$67,MATCH(TEXT(B35,"yyyymmdd")&amp;"|1",$X$44:$X$67,0))&amp;IF(INDEX($Q$44:$Q$67,MATCH(TEXT(B35,"yyyymmdd")&amp;"|1",$X$44:$X$67,0))&lt;&gt;""," • "&amp;INDEX($Q$44:$Q$67,MATCH(TEXT(B35,"yyyymmdd")&amp;"|1",$X$44:$X$67,0)),"")&amp;IF(INDEX($N$44:$N$67,MATCH(TEXT(B35,"yyyymmdd")&amp;"|1",$X$44:$X$67,0))&lt;&gt;""," — "&amp;INDEX($N$44:$N$67,MATCH(TEXT(B35,"yyyymmdd")&amp;"|1",$X$44:$X$67,0)),"")&amp;IF(AND(INDEX($S$44:$S$67,MATCH(TEXT(B35,"yyyymmdd")&amp;"|1",$X$44:$X$67,0))&lt;&gt;"",INDEX($S$44:$S$67,MATCH(TEXT(B35,"yyyymmdd")&amp;"|1",$X$44:$X$67,0))&lt;&gt;"Planned")," • "&amp;INDEX($S$44:$S$67,MATCH(TEXT(B35,"yyyymmdd")&amp;"|1",$X$44:$X$67,0)),""),"")</x:f>
        <x:v>[Close] Prior-month data cutoff and close kickoff • 9:00 AM — Accounting</x:v>
      </x:c>
      <x:c r="C36" s="58"/>
      <x:c r="D36" s="59"/>
      <x:c r="E36" s="60" t="str">
        <x:f t="array" ref="E36">IFERROR("["&amp;INDEX($D$44:$D$67,MATCH(TEXT(E35,"yyyymmdd")&amp;"|1",$X$44:$X$67,0))&amp;"] "&amp;INDEX($G$44:$G$67,MATCH(TEXT(E35,"yyyymmdd")&amp;"|1",$X$44:$X$67,0))&amp;IF(INDEX($Q$44:$Q$67,MATCH(TEXT(E35,"yyyymmdd")&amp;"|1",$X$44:$X$67,0))&lt;&gt;""," • "&amp;INDEX($Q$44:$Q$67,MATCH(TEXT(E35,"yyyymmdd")&amp;"|1",$X$44:$X$67,0)),"")&amp;IF(INDEX($N$44:$N$67,MATCH(TEXT(E35,"yyyymmdd")&amp;"|1",$X$44:$X$67,0))&lt;&gt;""," — "&amp;INDEX($N$44:$N$67,MATCH(TEXT(E35,"yyyymmdd")&amp;"|1",$X$44:$X$67,0)),"")&amp;IF(AND(INDEX($S$44:$S$67,MATCH(TEXT(E35,"yyyymmdd")&amp;"|1",$X$44:$X$67,0))&lt;&gt;"",INDEX($S$44:$S$67,MATCH(TEXT(E35,"yyyymmdd")&amp;"|1",$X$44:$X$67,0))&lt;&gt;"Planned")," • "&amp;INDEX($S$44:$S$67,MATCH(TEXT(E35,"yyyymmdd")&amp;"|1",$X$44:$X$67,0)),""),"")</x:f>
        <x:v>[Close] Prior-month data cutoff and close kickoff • 9:00 AM — Accounting</x:v>
      </x:c>
      <x:c r="F36" s="58"/>
      <x:c r="G36" s="59"/>
      <x:c r="H36" s="60" t="str">
        <x:f t="array" ref="H36">IFERROR("["&amp;INDEX($D$44:$D$67,MATCH(TEXT(H35,"yyyymmdd")&amp;"|1",$X$44:$X$67,0))&amp;"] "&amp;INDEX($G$44:$G$67,MATCH(TEXT(H35,"yyyymmdd")&amp;"|1",$X$44:$X$67,0))&amp;IF(INDEX($Q$44:$Q$67,MATCH(TEXT(H35,"yyyymmdd")&amp;"|1",$X$44:$X$67,0))&lt;&gt;""," • "&amp;INDEX($Q$44:$Q$67,MATCH(TEXT(H35,"yyyymmdd")&amp;"|1",$X$44:$X$67,0)),"")&amp;IF(INDEX($N$44:$N$67,MATCH(TEXT(H35,"yyyymmdd")&amp;"|1",$X$44:$X$67,0))&lt;&gt;""," — "&amp;INDEX($N$44:$N$67,MATCH(TEXT(H35,"yyyymmdd")&amp;"|1",$X$44:$X$67,0)),"")&amp;IF(AND(INDEX($S$44:$S$67,MATCH(TEXT(H35,"yyyymmdd")&amp;"|1",$X$44:$X$67,0))&lt;&gt;"",INDEX($S$44:$S$67,MATCH(TEXT(H35,"yyyymmdd")&amp;"|1",$X$44:$X$67,0))&lt;&gt;"Planned")," • "&amp;INDEX($S$44:$S$67,MATCH(TEXT(H35,"yyyymmdd")&amp;"|1",$X$44:$X$67,0)),""),"")</x:f>
        <x:v>[Close] Prior-month data cutoff and close kickoff • 9:00 AM — Accounting</x:v>
      </x:c>
      <x:c r="I36" s="58"/>
      <x:c r="J36" s="59"/>
      <x:c r="K36" s="60" t="str">
        <x:f t="array" ref="K36">IFERROR("["&amp;INDEX($D$44:$D$67,MATCH(TEXT(K35,"yyyymmdd")&amp;"|1",$X$44:$X$67,0))&amp;"] "&amp;INDEX($G$44:$G$67,MATCH(TEXT(K35,"yyyymmdd")&amp;"|1",$X$44:$X$67,0))&amp;IF(INDEX($Q$44:$Q$67,MATCH(TEXT(K35,"yyyymmdd")&amp;"|1",$X$44:$X$67,0))&lt;&gt;""," • "&amp;INDEX($Q$44:$Q$67,MATCH(TEXT(K35,"yyyymmdd")&amp;"|1",$X$44:$X$67,0)),"")&amp;IF(INDEX($N$44:$N$67,MATCH(TEXT(K35,"yyyymmdd")&amp;"|1",$X$44:$X$67,0))&lt;&gt;""," — "&amp;INDEX($N$44:$N$67,MATCH(TEXT(K35,"yyyymmdd")&amp;"|1",$X$44:$X$67,0)),"")&amp;IF(AND(INDEX($S$44:$S$67,MATCH(TEXT(K35,"yyyymmdd")&amp;"|1",$X$44:$X$67,0))&lt;&gt;"",INDEX($S$44:$S$67,MATCH(TEXT(K35,"yyyymmdd")&amp;"|1",$X$44:$X$67,0))&lt;&gt;"Planned")," • "&amp;INDEX($S$44:$S$67,MATCH(TEXT(K35,"yyyymmdd")&amp;"|1",$X$44:$X$67,0)),""),"")</x:f>
        <x:v>[Close] Prior-month data cutoff and close kickoff • 9:00 AM — Accounting</x:v>
      </x:c>
      <x:c r="L36" s="58"/>
      <x:c r="M36" s="59"/>
      <x:c r="N36" s="60" t="str">
        <x:f t="array" ref="N36">IFERROR("["&amp;INDEX($D$44:$D$67,MATCH(TEXT(N35,"yyyymmdd")&amp;"|1",$X$44:$X$67,0))&amp;"] "&amp;INDEX($G$44:$G$67,MATCH(TEXT(N35,"yyyymmdd")&amp;"|1",$X$44:$X$67,0))&amp;IF(INDEX($Q$44:$Q$67,MATCH(TEXT(N35,"yyyymmdd")&amp;"|1",$X$44:$X$67,0))&lt;&gt;""," • "&amp;INDEX($Q$44:$Q$67,MATCH(TEXT(N35,"yyyymmdd")&amp;"|1",$X$44:$X$67,0)),"")&amp;IF(INDEX($N$44:$N$67,MATCH(TEXT(N35,"yyyymmdd")&amp;"|1",$X$44:$X$67,0))&lt;&gt;""," — "&amp;INDEX($N$44:$N$67,MATCH(TEXT(N35,"yyyymmdd")&amp;"|1",$X$44:$X$67,0)),"")&amp;IF(AND(INDEX($S$44:$S$67,MATCH(TEXT(N35,"yyyymmdd")&amp;"|1",$X$44:$X$67,0))&lt;&gt;"",INDEX($S$44:$S$67,MATCH(TEXT(N35,"yyyymmdd")&amp;"|1",$X$44:$X$67,0))&lt;&gt;"Planned")," • "&amp;INDEX($S$44:$S$67,MATCH(TEXT(N35,"yyyymmdd")&amp;"|1",$X$44:$X$67,0)),""),"")</x:f>
        <x:v>[Close] Prior-month data cutoff and close kickoff • 9:00 AM — Accounting</x:v>
      </x:c>
      <x:c r="O36" s="58"/>
      <x:c r="P36" s="59"/>
      <x:c r="Q36" s="60" t="str">
        <x:f t="array" ref="Q36">IFERROR("["&amp;INDEX($D$44:$D$67,MATCH(TEXT(Q35,"yyyymmdd")&amp;"|1",$X$44:$X$67,0))&amp;"] "&amp;INDEX($G$44:$G$67,MATCH(TEXT(Q35,"yyyymmdd")&amp;"|1",$X$44:$X$67,0))&amp;IF(INDEX($Q$44:$Q$67,MATCH(TEXT(Q35,"yyyymmdd")&amp;"|1",$X$44:$X$67,0))&lt;&gt;""," • "&amp;INDEX($Q$44:$Q$67,MATCH(TEXT(Q35,"yyyymmdd")&amp;"|1",$X$44:$X$67,0)),"")&amp;IF(INDEX($N$44:$N$67,MATCH(TEXT(Q35,"yyyymmdd")&amp;"|1",$X$44:$X$67,0))&lt;&gt;""," — "&amp;INDEX($N$44:$N$67,MATCH(TEXT(Q35,"yyyymmdd")&amp;"|1",$X$44:$X$67,0)),"")&amp;IF(AND(INDEX($S$44:$S$67,MATCH(TEXT(Q35,"yyyymmdd")&amp;"|1",$X$44:$X$67,0))&lt;&gt;"",INDEX($S$44:$S$67,MATCH(TEXT(Q35,"yyyymmdd")&amp;"|1",$X$44:$X$67,0))&lt;&gt;"Planned")," • "&amp;INDEX($S$44:$S$67,MATCH(TEXT(Q35,"yyyymmdd")&amp;"|1",$X$44:$X$67,0)),""),"")</x:f>
        <x:v>[Close] Prior-month data cutoff and close kickoff • 9:00 AM — Accounting</x:v>
      </x:c>
      <x:c r="R36" s="58"/>
      <x:c r="S36" s="59"/>
      <x:c r="T36" s="57" t="str">
        <x:f t="array" ref="T36">IFERROR("["&amp;INDEX($D$44:$D$67,MATCH(TEXT(T35,"yyyymmdd")&amp;"|1",$X$44:$X$67,0))&amp;"] "&amp;INDEX($G$44:$G$67,MATCH(TEXT(T35,"yyyymmdd")&amp;"|1",$X$44:$X$67,0))&amp;IF(INDEX($Q$44:$Q$67,MATCH(TEXT(T35,"yyyymmdd")&amp;"|1",$X$44:$X$67,0))&lt;&gt;""," • "&amp;INDEX($Q$44:$Q$67,MATCH(TEXT(T35,"yyyymmdd")&amp;"|1",$X$44:$X$67,0)),"")&amp;IF(INDEX($N$44:$N$67,MATCH(TEXT(T35,"yyyymmdd")&amp;"|1",$X$44:$X$67,0))&lt;&gt;""," — "&amp;INDEX($N$44:$N$67,MATCH(TEXT(T35,"yyyymmdd")&amp;"|1",$X$44:$X$67,0)),"")&amp;IF(AND(INDEX($S$44:$S$67,MATCH(TEXT(T35,"yyyymmdd")&amp;"|1",$X$44:$X$67,0))&lt;&gt;"",INDEX($S$44:$S$67,MATCH(TEXT(T35,"yyyymmdd")&amp;"|1",$X$44:$X$67,0))&lt;&gt;"Planned")," • "&amp;INDEX($S$44:$S$67,MATCH(TEXT(T35,"yyyymmdd")&amp;"|1",$X$44:$X$67,0)),""),"")</x:f>
        <x:v>[Close] Prior-month data cutoff and close kickoff • 9:00 AM — Accounting</x:v>
      </x:c>
      <x:c r="U36" s="58"/>
      <x:c r="V36" s="59"/>
      <x:c r="W36" s="24"/>
      <x:c r="X36" s="24"/>
    </x:row>
    <x:row r="37" ht="16.5" customHeight="1">
      <x:c r="B37" s="57" t="str">
        <x:f t="array" ref="B37">IFERROR("["&amp;INDEX($D$44:$D$67,MATCH(TEXT(B35,"yyyymmdd")&amp;"|2",$X$44:$X$67,0))&amp;"] "&amp;INDEX($G$44:$G$67,MATCH(TEXT(B35,"yyyymmdd")&amp;"|2",$X$44:$X$67,0))&amp;IF(INDEX($Q$44:$Q$67,MATCH(TEXT(B35,"yyyymmdd")&amp;"|2",$X$44:$X$67,0))&lt;&gt;""," • "&amp;INDEX($Q$44:$Q$67,MATCH(TEXT(B35,"yyyymmdd")&amp;"|2",$X$44:$X$67,0)),"")&amp;IF(INDEX($N$44:$N$67,MATCH(TEXT(B35,"yyyymmdd")&amp;"|2",$X$44:$X$67,0))&lt;&gt;""," — "&amp;INDEX($N$44:$N$67,MATCH(TEXT(B35,"yyyymmdd")&amp;"|2",$X$44:$X$67,0)),"")&amp;IF(AND(INDEX($S$44:$S$67,MATCH(TEXT(B35,"yyyymmdd")&amp;"|2",$X$44:$X$67,0))&lt;&gt;"",INDEX($S$44:$S$67,MATCH(TEXT(B35,"yyyymmdd")&amp;"|2",$X$44:$X$67,0))&lt;&gt;"Planned")," • "&amp;INDEX($S$44:$S$67,MATCH(TEXT(B35,"yyyymmdd")&amp;"|2",$X$44:$X$67,0)),""),"")</x:f>
      </x:c>
      <x:c r="C37" s="58"/>
      <x:c r="D37" s="59"/>
      <x:c r="E37" s="60" t="str">
        <x:f t="array" ref="E37">IFERROR("["&amp;INDEX($D$44:$D$67,MATCH(TEXT(E35,"yyyymmdd")&amp;"|2",$X$44:$X$67,0))&amp;"] "&amp;INDEX($G$44:$G$67,MATCH(TEXT(E35,"yyyymmdd")&amp;"|2",$X$44:$X$67,0))&amp;IF(INDEX($Q$44:$Q$67,MATCH(TEXT(E35,"yyyymmdd")&amp;"|2",$X$44:$X$67,0))&lt;&gt;""," • "&amp;INDEX($Q$44:$Q$67,MATCH(TEXT(E35,"yyyymmdd")&amp;"|2",$X$44:$X$67,0)),"")&amp;IF(INDEX($N$44:$N$67,MATCH(TEXT(E35,"yyyymmdd")&amp;"|2",$X$44:$X$67,0))&lt;&gt;""," — "&amp;INDEX($N$44:$N$67,MATCH(TEXT(E35,"yyyymmdd")&amp;"|2",$X$44:$X$67,0)),"")&amp;IF(AND(INDEX($S$44:$S$67,MATCH(TEXT(E35,"yyyymmdd")&amp;"|2",$X$44:$X$67,0))&lt;&gt;"",INDEX($S$44:$S$67,MATCH(TEXT(E35,"yyyymmdd")&amp;"|2",$X$44:$X$67,0))&lt;&gt;"Planned")," • "&amp;INDEX($S$44:$S$67,MATCH(TEXT(E35,"yyyymmdd")&amp;"|2",$X$44:$X$67,0)),""),"")</x:f>
      </x:c>
      <x:c r="F37" s="58"/>
      <x:c r="G37" s="59"/>
      <x:c r="H37" s="60" t="str">
        <x:f t="array" ref="H37">IFERROR("["&amp;INDEX($D$44:$D$67,MATCH(TEXT(H35,"yyyymmdd")&amp;"|2",$X$44:$X$67,0))&amp;"] "&amp;INDEX($G$44:$G$67,MATCH(TEXT(H35,"yyyymmdd")&amp;"|2",$X$44:$X$67,0))&amp;IF(INDEX($Q$44:$Q$67,MATCH(TEXT(H35,"yyyymmdd")&amp;"|2",$X$44:$X$67,0))&lt;&gt;""," • "&amp;INDEX($Q$44:$Q$67,MATCH(TEXT(H35,"yyyymmdd")&amp;"|2",$X$44:$X$67,0)),"")&amp;IF(INDEX($N$44:$N$67,MATCH(TEXT(H35,"yyyymmdd")&amp;"|2",$X$44:$X$67,0))&lt;&gt;""," — "&amp;INDEX($N$44:$N$67,MATCH(TEXT(H35,"yyyymmdd")&amp;"|2",$X$44:$X$67,0)),"")&amp;IF(AND(INDEX($S$44:$S$67,MATCH(TEXT(H35,"yyyymmdd")&amp;"|2",$X$44:$X$67,0))&lt;&gt;"",INDEX($S$44:$S$67,MATCH(TEXT(H35,"yyyymmdd")&amp;"|2",$X$44:$X$67,0))&lt;&gt;"Planned")," • "&amp;INDEX($S$44:$S$67,MATCH(TEXT(H35,"yyyymmdd")&amp;"|2",$X$44:$X$67,0)),""),"")</x:f>
      </x:c>
      <x:c r="I37" s="58"/>
      <x:c r="J37" s="59"/>
      <x:c r="K37" s="60" t="str">
        <x:f t="array" ref="K37">IFERROR("["&amp;INDEX($D$44:$D$67,MATCH(TEXT(K35,"yyyymmdd")&amp;"|2",$X$44:$X$67,0))&amp;"] "&amp;INDEX($G$44:$G$67,MATCH(TEXT(K35,"yyyymmdd")&amp;"|2",$X$44:$X$67,0))&amp;IF(INDEX($Q$44:$Q$67,MATCH(TEXT(K35,"yyyymmdd")&amp;"|2",$X$44:$X$67,0))&lt;&gt;""," • "&amp;INDEX($Q$44:$Q$67,MATCH(TEXT(K35,"yyyymmdd")&amp;"|2",$X$44:$X$67,0)),"")&amp;IF(INDEX($N$44:$N$67,MATCH(TEXT(K35,"yyyymmdd")&amp;"|2",$X$44:$X$67,0))&lt;&gt;""," — "&amp;INDEX($N$44:$N$67,MATCH(TEXT(K35,"yyyymmdd")&amp;"|2",$X$44:$X$67,0)),"")&amp;IF(AND(INDEX($S$44:$S$67,MATCH(TEXT(K35,"yyyymmdd")&amp;"|2",$X$44:$X$67,0))&lt;&gt;"",INDEX($S$44:$S$67,MATCH(TEXT(K35,"yyyymmdd")&amp;"|2",$X$44:$X$67,0))&lt;&gt;"Planned")," • "&amp;INDEX($S$44:$S$67,MATCH(TEXT(K35,"yyyymmdd")&amp;"|2",$X$44:$X$67,0)),""),"")</x:f>
      </x:c>
      <x:c r="L37" s="58"/>
      <x:c r="M37" s="59"/>
      <x:c r="N37" s="60" t="str">
        <x:f t="array" ref="N37">IFERROR("["&amp;INDEX($D$44:$D$67,MATCH(TEXT(N35,"yyyymmdd")&amp;"|2",$X$44:$X$67,0))&amp;"] "&amp;INDEX($G$44:$G$67,MATCH(TEXT(N35,"yyyymmdd")&amp;"|2",$X$44:$X$67,0))&amp;IF(INDEX($Q$44:$Q$67,MATCH(TEXT(N35,"yyyymmdd")&amp;"|2",$X$44:$X$67,0))&lt;&gt;""," • "&amp;INDEX($Q$44:$Q$67,MATCH(TEXT(N35,"yyyymmdd")&amp;"|2",$X$44:$X$67,0)),"")&amp;IF(INDEX($N$44:$N$67,MATCH(TEXT(N35,"yyyymmdd")&amp;"|2",$X$44:$X$67,0))&lt;&gt;""," — "&amp;INDEX($N$44:$N$67,MATCH(TEXT(N35,"yyyymmdd")&amp;"|2",$X$44:$X$67,0)),"")&amp;IF(AND(INDEX($S$44:$S$67,MATCH(TEXT(N35,"yyyymmdd")&amp;"|2",$X$44:$X$67,0))&lt;&gt;"",INDEX($S$44:$S$67,MATCH(TEXT(N35,"yyyymmdd")&amp;"|2",$X$44:$X$67,0))&lt;&gt;"Planned")," • "&amp;INDEX($S$44:$S$67,MATCH(TEXT(N35,"yyyymmdd")&amp;"|2",$X$44:$X$67,0)),""),"")</x:f>
      </x:c>
      <x:c r="O37" s="58"/>
      <x:c r="P37" s="59"/>
      <x:c r="Q37" s="60" t="str">
        <x:f t="array" ref="Q37">IFERROR("["&amp;INDEX($D$44:$D$67,MATCH(TEXT(Q35,"yyyymmdd")&amp;"|2",$X$44:$X$67,0))&amp;"] "&amp;INDEX($G$44:$G$67,MATCH(TEXT(Q35,"yyyymmdd")&amp;"|2",$X$44:$X$67,0))&amp;IF(INDEX($Q$44:$Q$67,MATCH(TEXT(Q35,"yyyymmdd")&amp;"|2",$X$44:$X$67,0))&lt;&gt;""," • "&amp;INDEX($Q$44:$Q$67,MATCH(TEXT(Q35,"yyyymmdd")&amp;"|2",$X$44:$X$67,0)),"")&amp;IF(INDEX($N$44:$N$67,MATCH(TEXT(Q35,"yyyymmdd")&amp;"|2",$X$44:$X$67,0))&lt;&gt;""," — "&amp;INDEX($N$44:$N$67,MATCH(TEXT(Q35,"yyyymmdd")&amp;"|2",$X$44:$X$67,0)),"")&amp;IF(AND(INDEX($S$44:$S$67,MATCH(TEXT(Q35,"yyyymmdd")&amp;"|2",$X$44:$X$67,0))&lt;&gt;"",INDEX($S$44:$S$67,MATCH(TEXT(Q35,"yyyymmdd")&amp;"|2",$X$44:$X$67,0))&lt;&gt;"Planned")," • "&amp;INDEX($S$44:$S$67,MATCH(TEXT(Q35,"yyyymmdd")&amp;"|2",$X$44:$X$67,0)),""),"")</x:f>
      </x:c>
      <x:c r="R37" s="58"/>
      <x:c r="S37" s="59"/>
      <x:c r="T37" s="57" t="str">
        <x:f t="array" ref="T37">IFERROR("["&amp;INDEX($D$44:$D$67,MATCH(TEXT(T35,"yyyymmdd")&amp;"|2",$X$44:$X$67,0))&amp;"] "&amp;INDEX($G$44:$G$67,MATCH(TEXT(T35,"yyyymmdd")&amp;"|2",$X$44:$X$67,0))&amp;IF(INDEX($Q$44:$Q$67,MATCH(TEXT(T35,"yyyymmdd")&amp;"|2",$X$44:$X$67,0))&lt;&gt;""," • "&amp;INDEX($Q$44:$Q$67,MATCH(TEXT(T35,"yyyymmdd")&amp;"|2",$X$44:$X$67,0)),"")&amp;IF(INDEX($N$44:$N$67,MATCH(TEXT(T35,"yyyymmdd")&amp;"|2",$X$44:$X$67,0))&lt;&gt;""," — "&amp;INDEX($N$44:$N$67,MATCH(TEXT(T35,"yyyymmdd")&amp;"|2",$X$44:$X$67,0)),"")&amp;IF(AND(INDEX($S$44:$S$67,MATCH(TEXT(T35,"yyyymmdd")&amp;"|2",$X$44:$X$67,0))&lt;&gt;"",INDEX($S$44:$S$67,MATCH(TEXT(T35,"yyyymmdd")&amp;"|2",$X$44:$X$67,0))&lt;&gt;"Planned")," • "&amp;INDEX($S$44:$S$67,MATCH(TEXT(T35,"yyyymmdd")&amp;"|2",$X$44:$X$67,0)),""),"")</x:f>
      </x:c>
      <x:c r="U37" s="58"/>
      <x:c r="V37" s="59"/>
      <x:c r="W37" s="24"/>
      <x:c r="X37" s="24"/>
    </x:row>
    <x:row r="38" ht="16.5" customHeight="1">
      <x:c r="B38" s="57" t="str">
        <x:f t="array" ref="B38">IFERROR("["&amp;INDEX($D$44:$D$67,MATCH(TEXT(B35,"yyyymmdd")&amp;"|3",$X$44:$X$67,0))&amp;"] "&amp;INDEX($G$44:$G$67,MATCH(TEXT(B35,"yyyymmdd")&amp;"|3",$X$44:$X$67,0))&amp;IF(INDEX($Q$44:$Q$67,MATCH(TEXT(B35,"yyyymmdd")&amp;"|3",$X$44:$X$67,0))&lt;&gt;""," • "&amp;INDEX($Q$44:$Q$67,MATCH(TEXT(B35,"yyyymmdd")&amp;"|3",$X$44:$X$67,0)),"")&amp;IF(INDEX($N$44:$N$67,MATCH(TEXT(B35,"yyyymmdd")&amp;"|3",$X$44:$X$67,0))&lt;&gt;""," — "&amp;INDEX($N$44:$N$67,MATCH(TEXT(B35,"yyyymmdd")&amp;"|3",$X$44:$X$67,0)),"")&amp;IF(AND(INDEX($S$44:$S$67,MATCH(TEXT(B35,"yyyymmdd")&amp;"|3",$X$44:$X$67,0))&lt;&gt;"",INDEX($S$44:$S$67,MATCH(TEXT(B35,"yyyymmdd")&amp;"|3",$X$44:$X$67,0))&lt;&gt;"Planned")," • "&amp;INDEX($S$44:$S$67,MATCH(TEXT(B35,"yyyymmdd")&amp;"|3",$X$44:$X$67,0)),""),"")</x:f>
      </x:c>
      <x:c r="C38" s="58"/>
      <x:c r="D38" s="59"/>
      <x:c r="E38" s="60" t="str">
        <x:f t="array" ref="E38">IFERROR("["&amp;INDEX($D$44:$D$67,MATCH(TEXT(E35,"yyyymmdd")&amp;"|3",$X$44:$X$67,0))&amp;"] "&amp;INDEX($G$44:$G$67,MATCH(TEXT(E35,"yyyymmdd")&amp;"|3",$X$44:$X$67,0))&amp;IF(INDEX($Q$44:$Q$67,MATCH(TEXT(E35,"yyyymmdd")&amp;"|3",$X$44:$X$67,0))&lt;&gt;""," • "&amp;INDEX($Q$44:$Q$67,MATCH(TEXT(E35,"yyyymmdd")&amp;"|3",$X$44:$X$67,0)),"")&amp;IF(INDEX($N$44:$N$67,MATCH(TEXT(E35,"yyyymmdd")&amp;"|3",$X$44:$X$67,0))&lt;&gt;""," — "&amp;INDEX($N$44:$N$67,MATCH(TEXT(E35,"yyyymmdd")&amp;"|3",$X$44:$X$67,0)),"")&amp;IF(AND(INDEX($S$44:$S$67,MATCH(TEXT(E35,"yyyymmdd")&amp;"|3",$X$44:$X$67,0))&lt;&gt;"",INDEX($S$44:$S$67,MATCH(TEXT(E35,"yyyymmdd")&amp;"|3",$X$44:$X$67,0))&lt;&gt;"Planned")," • "&amp;INDEX($S$44:$S$67,MATCH(TEXT(E35,"yyyymmdd")&amp;"|3",$X$44:$X$67,0)),""),"")</x:f>
      </x:c>
      <x:c r="F38" s="58"/>
      <x:c r="G38" s="59"/>
      <x:c r="H38" s="60" t="str">
        <x:f t="array" ref="H38">IFERROR("["&amp;INDEX($D$44:$D$67,MATCH(TEXT(H35,"yyyymmdd")&amp;"|3",$X$44:$X$67,0))&amp;"] "&amp;INDEX($G$44:$G$67,MATCH(TEXT(H35,"yyyymmdd")&amp;"|3",$X$44:$X$67,0))&amp;IF(INDEX($Q$44:$Q$67,MATCH(TEXT(H35,"yyyymmdd")&amp;"|3",$X$44:$X$67,0))&lt;&gt;""," • "&amp;INDEX($Q$44:$Q$67,MATCH(TEXT(H35,"yyyymmdd")&amp;"|3",$X$44:$X$67,0)),"")&amp;IF(INDEX($N$44:$N$67,MATCH(TEXT(H35,"yyyymmdd")&amp;"|3",$X$44:$X$67,0))&lt;&gt;""," — "&amp;INDEX($N$44:$N$67,MATCH(TEXT(H35,"yyyymmdd")&amp;"|3",$X$44:$X$67,0)),"")&amp;IF(AND(INDEX($S$44:$S$67,MATCH(TEXT(H35,"yyyymmdd")&amp;"|3",$X$44:$X$67,0))&lt;&gt;"",INDEX($S$44:$S$67,MATCH(TEXT(H35,"yyyymmdd")&amp;"|3",$X$44:$X$67,0))&lt;&gt;"Planned")," • "&amp;INDEX($S$44:$S$67,MATCH(TEXT(H35,"yyyymmdd")&amp;"|3",$X$44:$X$67,0)),""),"")</x:f>
      </x:c>
      <x:c r="I38" s="58"/>
      <x:c r="J38" s="59"/>
      <x:c r="K38" s="60" t="str">
        <x:f t="array" ref="K38">IFERROR("["&amp;INDEX($D$44:$D$67,MATCH(TEXT(K35,"yyyymmdd")&amp;"|3",$X$44:$X$67,0))&amp;"] "&amp;INDEX($G$44:$G$67,MATCH(TEXT(K35,"yyyymmdd")&amp;"|3",$X$44:$X$67,0))&amp;IF(INDEX($Q$44:$Q$67,MATCH(TEXT(K35,"yyyymmdd")&amp;"|3",$X$44:$X$67,0))&lt;&gt;""," • "&amp;INDEX($Q$44:$Q$67,MATCH(TEXT(K35,"yyyymmdd")&amp;"|3",$X$44:$X$67,0)),"")&amp;IF(INDEX($N$44:$N$67,MATCH(TEXT(K35,"yyyymmdd")&amp;"|3",$X$44:$X$67,0))&lt;&gt;""," — "&amp;INDEX($N$44:$N$67,MATCH(TEXT(K35,"yyyymmdd")&amp;"|3",$X$44:$X$67,0)),"")&amp;IF(AND(INDEX($S$44:$S$67,MATCH(TEXT(K35,"yyyymmdd")&amp;"|3",$X$44:$X$67,0))&lt;&gt;"",INDEX($S$44:$S$67,MATCH(TEXT(K35,"yyyymmdd")&amp;"|3",$X$44:$X$67,0))&lt;&gt;"Planned")," • "&amp;INDEX($S$44:$S$67,MATCH(TEXT(K35,"yyyymmdd")&amp;"|3",$X$44:$X$67,0)),""),"")</x:f>
      </x:c>
      <x:c r="L38" s="58"/>
      <x:c r="M38" s="59"/>
      <x:c r="N38" s="60" t="str">
        <x:f t="array" ref="N38">IFERROR("["&amp;INDEX($D$44:$D$67,MATCH(TEXT(N35,"yyyymmdd")&amp;"|3",$X$44:$X$67,0))&amp;"] "&amp;INDEX($G$44:$G$67,MATCH(TEXT(N35,"yyyymmdd")&amp;"|3",$X$44:$X$67,0))&amp;IF(INDEX($Q$44:$Q$67,MATCH(TEXT(N35,"yyyymmdd")&amp;"|3",$X$44:$X$67,0))&lt;&gt;""," • "&amp;INDEX($Q$44:$Q$67,MATCH(TEXT(N35,"yyyymmdd")&amp;"|3",$X$44:$X$67,0)),"")&amp;IF(INDEX($N$44:$N$67,MATCH(TEXT(N35,"yyyymmdd")&amp;"|3",$X$44:$X$67,0))&lt;&gt;""," — "&amp;INDEX($N$44:$N$67,MATCH(TEXT(N35,"yyyymmdd")&amp;"|3",$X$44:$X$67,0)),"")&amp;IF(AND(INDEX($S$44:$S$67,MATCH(TEXT(N35,"yyyymmdd")&amp;"|3",$X$44:$X$67,0))&lt;&gt;"",INDEX($S$44:$S$67,MATCH(TEXT(N35,"yyyymmdd")&amp;"|3",$X$44:$X$67,0))&lt;&gt;"Planned")," • "&amp;INDEX($S$44:$S$67,MATCH(TEXT(N35,"yyyymmdd")&amp;"|3",$X$44:$X$67,0)),""),"")</x:f>
      </x:c>
      <x:c r="O38" s="58"/>
      <x:c r="P38" s="59"/>
      <x:c r="Q38" s="60" t="str">
        <x:f t="array" ref="Q38">IFERROR("["&amp;INDEX($D$44:$D$67,MATCH(TEXT(Q35,"yyyymmdd")&amp;"|3",$X$44:$X$67,0))&amp;"] "&amp;INDEX($G$44:$G$67,MATCH(TEXT(Q35,"yyyymmdd")&amp;"|3",$X$44:$X$67,0))&amp;IF(INDEX($Q$44:$Q$67,MATCH(TEXT(Q35,"yyyymmdd")&amp;"|3",$X$44:$X$67,0))&lt;&gt;""," • "&amp;INDEX($Q$44:$Q$67,MATCH(TEXT(Q35,"yyyymmdd")&amp;"|3",$X$44:$X$67,0)),"")&amp;IF(INDEX($N$44:$N$67,MATCH(TEXT(Q35,"yyyymmdd")&amp;"|3",$X$44:$X$67,0))&lt;&gt;""," — "&amp;INDEX($N$44:$N$67,MATCH(TEXT(Q35,"yyyymmdd")&amp;"|3",$X$44:$X$67,0)),"")&amp;IF(AND(INDEX($S$44:$S$67,MATCH(TEXT(Q35,"yyyymmdd")&amp;"|3",$X$44:$X$67,0))&lt;&gt;"",INDEX($S$44:$S$67,MATCH(TEXT(Q35,"yyyymmdd")&amp;"|3",$X$44:$X$67,0))&lt;&gt;"Planned")," • "&amp;INDEX($S$44:$S$67,MATCH(TEXT(Q35,"yyyymmdd")&amp;"|3",$X$44:$X$67,0)),""),"")</x:f>
      </x:c>
      <x:c r="R38" s="58"/>
      <x:c r="S38" s="59"/>
      <x:c r="T38" s="57" t="str">
        <x:f t="array" ref="T38">IFERROR("["&amp;INDEX($D$44:$D$67,MATCH(TEXT(T35,"yyyymmdd")&amp;"|3",$X$44:$X$67,0))&amp;"] "&amp;INDEX($G$44:$G$67,MATCH(TEXT(T35,"yyyymmdd")&amp;"|3",$X$44:$X$67,0))&amp;IF(INDEX($Q$44:$Q$67,MATCH(TEXT(T35,"yyyymmdd")&amp;"|3",$X$44:$X$67,0))&lt;&gt;""," • "&amp;INDEX($Q$44:$Q$67,MATCH(TEXT(T35,"yyyymmdd")&amp;"|3",$X$44:$X$67,0)),"")&amp;IF(INDEX($N$44:$N$67,MATCH(TEXT(T35,"yyyymmdd")&amp;"|3",$X$44:$X$67,0))&lt;&gt;""," — "&amp;INDEX($N$44:$N$67,MATCH(TEXT(T35,"yyyymmdd")&amp;"|3",$X$44:$X$67,0)),"")&amp;IF(AND(INDEX($S$44:$S$67,MATCH(TEXT(T35,"yyyymmdd")&amp;"|3",$X$44:$X$67,0))&lt;&gt;"",INDEX($S$44:$S$67,MATCH(TEXT(T35,"yyyymmdd")&amp;"|3",$X$44:$X$67,0))&lt;&gt;"Planned")," • "&amp;INDEX($S$44:$S$67,MATCH(TEXT(T35,"yyyymmdd")&amp;"|3",$X$44:$X$67,0)),""),"")</x:f>
      </x:c>
      <x:c r="U38" s="58"/>
      <x:c r="V38" s="59"/>
      <x:c r="W38" s="24"/>
      <x:c r="X38" s="24"/>
    </x:row>
    <x:row r="39" ht="16.5" customHeight="1">
      <x:c r="B39" s="57" t="str">
        <x:f t="array" ref="B39">IFERROR("["&amp;INDEX($D$44:$D$67,MATCH(TEXT(B35,"yyyymmdd")&amp;"|4",$X$44:$X$67,0))&amp;"] "&amp;INDEX($G$44:$G$67,MATCH(TEXT(B35,"yyyymmdd")&amp;"|4",$X$44:$X$67,0))&amp;IF(INDEX($Q$44:$Q$67,MATCH(TEXT(B35,"yyyymmdd")&amp;"|4",$X$44:$X$67,0))&lt;&gt;""," • "&amp;INDEX($Q$44:$Q$67,MATCH(TEXT(B35,"yyyymmdd")&amp;"|4",$X$44:$X$67,0)),"")&amp;IF(INDEX($N$44:$N$67,MATCH(TEXT(B35,"yyyymmdd")&amp;"|4",$X$44:$X$67,0))&lt;&gt;""," — "&amp;INDEX($N$44:$N$67,MATCH(TEXT(B35,"yyyymmdd")&amp;"|4",$X$44:$X$67,0)),"")&amp;IF(AND(INDEX($S$44:$S$67,MATCH(TEXT(B35,"yyyymmdd")&amp;"|4",$X$44:$X$67,0))&lt;&gt;"",INDEX($S$44:$S$67,MATCH(TEXT(B35,"yyyymmdd")&amp;"|4",$X$44:$X$67,0))&lt;&gt;"Planned")," • "&amp;INDEX($S$44:$S$67,MATCH(TEXT(B35,"yyyymmdd")&amp;"|4",$X$44:$X$67,0)),""),"")</x:f>
      </x:c>
      <x:c r="C39" s="58"/>
      <x:c r="D39" s="59"/>
      <x:c r="E39" s="60" t="str">
        <x:f t="array" ref="E39">IFERROR("["&amp;INDEX($D$44:$D$67,MATCH(TEXT(E35,"yyyymmdd")&amp;"|4",$X$44:$X$67,0))&amp;"] "&amp;INDEX($G$44:$G$67,MATCH(TEXT(E35,"yyyymmdd")&amp;"|4",$X$44:$X$67,0))&amp;IF(INDEX($Q$44:$Q$67,MATCH(TEXT(E35,"yyyymmdd")&amp;"|4",$X$44:$X$67,0))&lt;&gt;""," • "&amp;INDEX($Q$44:$Q$67,MATCH(TEXT(E35,"yyyymmdd")&amp;"|4",$X$44:$X$67,0)),"")&amp;IF(INDEX($N$44:$N$67,MATCH(TEXT(E35,"yyyymmdd")&amp;"|4",$X$44:$X$67,0))&lt;&gt;""," — "&amp;INDEX($N$44:$N$67,MATCH(TEXT(E35,"yyyymmdd")&amp;"|4",$X$44:$X$67,0)),"")&amp;IF(AND(INDEX($S$44:$S$67,MATCH(TEXT(E35,"yyyymmdd")&amp;"|4",$X$44:$X$67,0))&lt;&gt;"",INDEX($S$44:$S$67,MATCH(TEXT(E35,"yyyymmdd")&amp;"|4",$X$44:$X$67,0))&lt;&gt;"Planned")," • "&amp;INDEX($S$44:$S$67,MATCH(TEXT(E35,"yyyymmdd")&amp;"|4",$X$44:$X$67,0)),""),"")</x:f>
      </x:c>
      <x:c r="F39" s="58"/>
      <x:c r="G39" s="59"/>
      <x:c r="H39" s="60" t="str">
        <x:f t="array" ref="H39">IFERROR("["&amp;INDEX($D$44:$D$67,MATCH(TEXT(H35,"yyyymmdd")&amp;"|4",$X$44:$X$67,0))&amp;"] "&amp;INDEX($G$44:$G$67,MATCH(TEXT(H35,"yyyymmdd")&amp;"|4",$X$44:$X$67,0))&amp;IF(INDEX($Q$44:$Q$67,MATCH(TEXT(H35,"yyyymmdd")&amp;"|4",$X$44:$X$67,0))&lt;&gt;""," • "&amp;INDEX($Q$44:$Q$67,MATCH(TEXT(H35,"yyyymmdd")&amp;"|4",$X$44:$X$67,0)),"")&amp;IF(INDEX($N$44:$N$67,MATCH(TEXT(H35,"yyyymmdd")&amp;"|4",$X$44:$X$67,0))&lt;&gt;""," — "&amp;INDEX($N$44:$N$67,MATCH(TEXT(H35,"yyyymmdd")&amp;"|4",$X$44:$X$67,0)),"")&amp;IF(AND(INDEX($S$44:$S$67,MATCH(TEXT(H35,"yyyymmdd")&amp;"|4",$X$44:$X$67,0))&lt;&gt;"",INDEX($S$44:$S$67,MATCH(TEXT(H35,"yyyymmdd")&amp;"|4",$X$44:$X$67,0))&lt;&gt;"Planned")," • "&amp;INDEX($S$44:$S$67,MATCH(TEXT(H35,"yyyymmdd")&amp;"|4",$X$44:$X$67,0)),""),"")</x:f>
      </x:c>
      <x:c r="I39" s="58"/>
      <x:c r="J39" s="59"/>
      <x:c r="K39" s="60" t="str">
        <x:f t="array" ref="K39">IFERROR("["&amp;INDEX($D$44:$D$67,MATCH(TEXT(K35,"yyyymmdd")&amp;"|4",$X$44:$X$67,0))&amp;"] "&amp;INDEX($G$44:$G$67,MATCH(TEXT(K35,"yyyymmdd")&amp;"|4",$X$44:$X$67,0))&amp;IF(INDEX($Q$44:$Q$67,MATCH(TEXT(K35,"yyyymmdd")&amp;"|4",$X$44:$X$67,0))&lt;&gt;""," • "&amp;INDEX($Q$44:$Q$67,MATCH(TEXT(K35,"yyyymmdd")&amp;"|4",$X$44:$X$67,0)),"")&amp;IF(INDEX($N$44:$N$67,MATCH(TEXT(K35,"yyyymmdd")&amp;"|4",$X$44:$X$67,0))&lt;&gt;""," — "&amp;INDEX($N$44:$N$67,MATCH(TEXT(K35,"yyyymmdd")&amp;"|4",$X$44:$X$67,0)),"")&amp;IF(AND(INDEX($S$44:$S$67,MATCH(TEXT(K35,"yyyymmdd")&amp;"|4",$X$44:$X$67,0))&lt;&gt;"",INDEX($S$44:$S$67,MATCH(TEXT(K35,"yyyymmdd")&amp;"|4",$X$44:$X$67,0))&lt;&gt;"Planned")," • "&amp;INDEX($S$44:$S$67,MATCH(TEXT(K35,"yyyymmdd")&amp;"|4",$X$44:$X$67,0)),""),"")</x:f>
      </x:c>
      <x:c r="L39" s="58"/>
      <x:c r="M39" s="59"/>
      <x:c r="N39" s="60" t="str">
        <x:f t="array" ref="N39">IFERROR("["&amp;INDEX($D$44:$D$67,MATCH(TEXT(N35,"yyyymmdd")&amp;"|4",$X$44:$X$67,0))&amp;"] "&amp;INDEX($G$44:$G$67,MATCH(TEXT(N35,"yyyymmdd")&amp;"|4",$X$44:$X$67,0))&amp;IF(INDEX($Q$44:$Q$67,MATCH(TEXT(N35,"yyyymmdd")&amp;"|4",$X$44:$X$67,0))&lt;&gt;""," • "&amp;INDEX($Q$44:$Q$67,MATCH(TEXT(N35,"yyyymmdd")&amp;"|4",$X$44:$X$67,0)),"")&amp;IF(INDEX($N$44:$N$67,MATCH(TEXT(N35,"yyyymmdd")&amp;"|4",$X$44:$X$67,0))&lt;&gt;""," — "&amp;INDEX($N$44:$N$67,MATCH(TEXT(N35,"yyyymmdd")&amp;"|4",$X$44:$X$67,0)),"")&amp;IF(AND(INDEX($S$44:$S$67,MATCH(TEXT(N35,"yyyymmdd")&amp;"|4",$X$44:$X$67,0))&lt;&gt;"",INDEX($S$44:$S$67,MATCH(TEXT(N35,"yyyymmdd")&amp;"|4",$X$44:$X$67,0))&lt;&gt;"Planned")," • "&amp;INDEX($S$44:$S$67,MATCH(TEXT(N35,"yyyymmdd")&amp;"|4",$X$44:$X$67,0)),""),"")</x:f>
      </x:c>
      <x:c r="O39" s="58"/>
      <x:c r="P39" s="59"/>
      <x:c r="Q39" s="60" t="str">
        <x:f t="array" ref="Q39">IFERROR("["&amp;INDEX($D$44:$D$67,MATCH(TEXT(Q35,"yyyymmdd")&amp;"|4",$X$44:$X$67,0))&amp;"] "&amp;INDEX($G$44:$G$67,MATCH(TEXT(Q35,"yyyymmdd")&amp;"|4",$X$44:$X$67,0))&amp;IF(INDEX($Q$44:$Q$67,MATCH(TEXT(Q35,"yyyymmdd")&amp;"|4",$X$44:$X$67,0))&lt;&gt;""," • "&amp;INDEX($Q$44:$Q$67,MATCH(TEXT(Q35,"yyyymmdd")&amp;"|4",$X$44:$X$67,0)),"")&amp;IF(INDEX($N$44:$N$67,MATCH(TEXT(Q35,"yyyymmdd")&amp;"|4",$X$44:$X$67,0))&lt;&gt;""," — "&amp;INDEX($N$44:$N$67,MATCH(TEXT(Q35,"yyyymmdd")&amp;"|4",$X$44:$X$67,0)),"")&amp;IF(AND(INDEX($S$44:$S$67,MATCH(TEXT(Q35,"yyyymmdd")&amp;"|4",$X$44:$X$67,0))&lt;&gt;"",INDEX($S$44:$S$67,MATCH(TEXT(Q35,"yyyymmdd")&amp;"|4",$X$44:$X$67,0))&lt;&gt;"Planned")," • "&amp;INDEX($S$44:$S$67,MATCH(TEXT(Q35,"yyyymmdd")&amp;"|4",$X$44:$X$67,0)),""),"")</x:f>
      </x:c>
      <x:c r="R39" s="58"/>
      <x:c r="S39" s="59"/>
      <x:c r="T39" s="57" t="str">
        <x:f t="array" ref="T39">IFERROR("["&amp;INDEX($D$44:$D$67,MATCH(TEXT(T35,"yyyymmdd")&amp;"|4",$X$44:$X$67,0))&amp;"] "&amp;INDEX($G$44:$G$67,MATCH(TEXT(T35,"yyyymmdd")&amp;"|4",$X$44:$X$67,0))&amp;IF(INDEX($Q$44:$Q$67,MATCH(TEXT(T35,"yyyymmdd")&amp;"|4",$X$44:$X$67,0))&lt;&gt;""," • "&amp;INDEX($Q$44:$Q$67,MATCH(TEXT(T35,"yyyymmdd")&amp;"|4",$X$44:$X$67,0)),"")&amp;IF(INDEX($N$44:$N$67,MATCH(TEXT(T35,"yyyymmdd")&amp;"|4",$X$44:$X$67,0))&lt;&gt;""," — "&amp;INDEX($N$44:$N$67,MATCH(TEXT(T35,"yyyymmdd")&amp;"|4",$X$44:$X$67,0)),"")&amp;IF(AND(INDEX($S$44:$S$67,MATCH(TEXT(T35,"yyyymmdd")&amp;"|4",$X$44:$X$67,0))&lt;&gt;"",INDEX($S$44:$S$67,MATCH(TEXT(T35,"yyyymmdd")&amp;"|4",$X$44:$X$67,0))&lt;&gt;"Planned")," • "&amp;INDEX($S$44:$S$67,MATCH(TEXT(T35,"yyyymmdd")&amp;"|4",$X$44:$X$67,0)),""),"")</x:f>
      </x:c>
      <x:c r="U39" s="58"/>
      <x:c r="V39" s="59"/>
      <x:c r="W39" s="24"/>
      <x:c r="X39" s="24"/>
    </x:row>
    <x:row r="40" ht="6" customHeight="1"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</x:row>
    <x:row r="41" ht="19.5" customHeight="1">
      <x:c r="B41" s="93" t="s">
        <x:v>36</x:v>
      </x:c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3"/>
      <x:c r="S41" s="94" t="str">
        <x:f>IF(MAX($W$44:$W$67)&gt;4,"REVIEW: "&amp;COUNTIF($W$44:$W$67,"&gt;4")&amp;" overflow event(s)","CAPACITY OK")</x:f>
        <x:v>CAPACITY OK</x:v>
      </x:c>
      <x:c r="T41" s="58"/>
      <x:c r="U41" s="58"/>
      <x:c r="V41" s="59"/>
      <x:c r="W41" s="24"/>
      <x:c r="X41" s="24"/>
    </x:row>
    <x:row r="42" ht="19.5" customHeight="1">
      <x:c r="B42" s="95" t="s">
        <x:v>37</x:v>
      </x:c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3"/>
      <x:c r="W42" s="24"/>
      <x:c r="X42" s="24"/>
    </x:row>
    <x:row r="43" ht="21.75" customHeight="1">
      <x:c r="B43" s="6" t="s">
        <x:v>38</x:v>
      </x:c>
      <x:c r="C43" s="6" t="s">
        <x:v>39</x:v>
      </x:c>
      <x:c r="D43" s="92" t="s">
        <x:v>40</x:v>
      </x:c>
      <x:c r="E43" s="58"/>
      <x:c r="F43" s="59"/>
      <x:c r="G43" s="92" t="s">
        <x:v>41</x:v>
      </x:c>
      <x:c r="H43" s="58"/>
      <x:c r="I43" s="58"/>
      <x:c r="J43" s="58"/>
      <x:c r="K43" s="58"/>
      <x:c r="L43" s="58"/>
      <x:c r="M43" s="59"/>
      <x:c r="N43" s="92" t="s">
        <x:v>42</x:v>
      </x:c>
      <x:c r="O43" s="58"/>
      <x:c r="P43" s="59"/>
      <x:c r="Q43" s="92" t="s">
        <x:v>43</x:v>
      </x:c>
      <x:c r="R43" s="59"/>
      <x:c r="S43" s="92" t="s">
        <x:v>44</x:v>
      </x:c>
      <x:c r="T43" s="59"/>
      <x:c r="U43" s="6" t="s">
        <x:v>45</x:v>
      </x:c>
      <x:c r="V43" s="6" t="s">
        <x:v>46</x:v>
      </x:c>
      <x:c r="W43" s="6" t="s">
        <x:v>47</x:v>
      </x:c>
      <x:c r="X43" s="6" t="s">
        <x:v>48</x:v>
      </x:c>
    </x:row>
    <x:row r="44" ht="21" customHeight="1">
      <x:c r="B44" s="7" t="s">
        <x:v>49</x:v>
      </x:c>
      <x:c r="C44" s="8">
        <x:v>1</x:v>
      </x:c>
      <x:c r="D44" s="91" t="s">
        <x:v>24</x:v>
      </x:c>
      <x:c r="E44" s="58"/>
      <x:c r="F44" s="59"/>
      <x:c r="G44" s="91" t="s">
        <x:v>50</x:v>
      </x:c>
      <x:c r="H44" s="58"/>
      <x:c r="I44" s="58"/>
      <x:c r="J44" s="58"/>
      <x:c r="K44" s="58"/>
      <x:c r="L44" s="58"/>
      <x:c r="M44" s="59"/>
      <x:c r="N44" s="91" t="s">
        <x:v>23</x:v>
      </x:c>
      <x:c r="O44" s="58"/>
      <x:c r="P44" s="59"/>
      <x:c r="Q44" s="91" t="s">
        <x:v>51</x:v>
      </x:c>
      <x:c r="R44" s="59"/>
      <x:c r="S44" s="91" t="s">
        <x:v>52</x:v>
      </x:c>
      <x:c r="T44" s="59"/>
      <x:c r="U44" s="9"/>
      <x:c r="V44" s="10" t="n">
        <x:f t="shared" ref="V44:V67" si="0">IF($G44="","",IF($U44&lt;&gt;"",$U44,IF($B44="BD+",WORKDAY(DATE($T$3,$X$2,1)-1,$C44),IF($B44="BD-",WORKDAY(EOMONTH(DATE($T$3,$X$2,1),0)+1,-$C44),DATE($T$3,$X$2,MIN($C44,DAY(EOMONTH(DATE($T$3,$X$2,1),0))))))))</x:f>
        <x:v>46174</x:v>
      </x:c>
      <x:c r="W44" s="11" t="n">
        <x:f t="shared" ref="W44:W67" si="1">IF($V44="","",COUNTIF($V$44:V44,V44))</x:f>
        <x:v>1</x:v>
      </x:c>
      <x:c r="X44" s="11" t="str">
        <x:f t="shared" ref="X44:X67" si="2">IF($V44="","",TEXT($V44,"yyyymmdd")&amp;"|"&amp;$W44)</x:f>
        <x:v>20260601|1</x:v>
      </x:c>
    </x:row>
    <x:row r="45" ht="21" customHeight="1">
      <x:c r="B45" s="12" t="s">
        <x:v>49</x:v>
      </x:c>
      <x:c r="C45" s="13">
        <x:v>2</x:v>
      </x:c>
      <x:c r="D45" s="90" t="s">
        <x:v>23</x:v>
      </x:c>
      <x:c r="E45" s="58"/>
      <x:c r="F45" s="59"/>
      <x:c r="G45" s="90" t="s">
        <x:v>53</x:v>
      </x:c>
      <x:c r="H45" s="58"/>
      <x:c r="I45" s="58"/>
      <x:c r="J45" s="58"/>
      <x:c r="K45" s="58"/>
      <x:c r="L45" s="58"/>
      <x:c r="M45" s="59"/>
      <x:c r="N45" s="90" t="s">
        <x:v>23</x:v>
      </x:c>
      <x:c r="O45" s="58"/>
      <x:c r="P45" s="59"/>
      <x:c r="Q45" s="90" t="s">
        <x:v>54</x:v>
      </x:c>
      <x:c r="R45" s="59"/>
      <x:c r="S45" s="90" t="s">
        <x:v>52</x:v>
      </x:c>
      <x:c r="T45" s="59"/>
      <x:c r="U45" s="14"/>
      <x:c r="V45" s="15">
        <x:f t="shared" si="0"/>
        <x:v>46175</x:v>
      </x:c>
      <x:c r="W45" s="16">
        <x:f t="shared" si="1"/>
        <x:v>1</x:v>
      </x:c>
      <x:c r="X45" s="16" t="str">
        <x:f t="shared" si="2"/>
        <x:v>20260602|1</x:v>
      </x:c>
    </x:row>
    <x:row r="46" ht="21" customHeight="1">
      <x:c r="B46" s="7" t="s">
        <x:v>49</x:v>
      </x:c>
      <x:c r="C46" s="8">
        <x:v>3</x:v>
      </x:c>
      <x:c r="D46" s="91" t="s">
        <x:v>24</x:v>
      </x:c>
      <x:c r="E46" s="58"/>
      <x:c r="F46" s="59"/>
      <x:c r="G46" s="91" t="s">
        <x:v>55</x:v>
      </x:c>
      <x:c r="H46" s="58"/>
      <x:c r="I46" s="58"/>
      <x:c r="J46" s="58"/>
      <x:c r="K46" s="58"/>
      <x:c r="L46" s="58"/>
      <x:c r="M46" s="59"/>
      <x:c r="N46" s="91" t="s">
        <x:v>56</x:v>
      </x:c>
      <x:c r="O46" s="58"/>
      <x:c r="P46" s="59"/>
      <x:c r="Q46" s="91" t="s">
        <x:v>57</x:v>
      </x:c>
      <x:c r="R46" s="59"/>
      <x:c r="S46" s="91" t="s">
        <x:v>52</x:v>
      </x:c>
      <x:c r="T46" s="59"/>
      <x:c r="U46" s="9"/>
      <x:c r="V46" s="10">
        <x:f t="shared" si="0"/>
        <x:v>46176</x:v>
      </x:c>
      <x:c r="W46" s="11">
        <x:f t="shared" si="1"/>
        <x:v>1</x:v>
      </x:c>
      <x:c r="X46" s="11" t="str">
        <x:f t="shared" si="2"/>
        <x:v>20260603|1</x:v>
      </x:c>
    </x:row>
    <x:row r="47" ht="21" customHeight="1">
      <x:c r="B47" s="12" t="s">
        <x:v>49</x:v>
      </x:c>
      <x:c r="C47" s="13">
        <x:v>4</x:v>
      </x:c>
      <x:c r="D47" s="90" t="s">
        <x:v>26</x:v>
      </x:c>
      <x:c r="E47" s="58"/>
      <x:c r="F47" s="59"/>
      <x:c r="G47" s="90" t="s">
        <x:v>58</x:v>
      </x:c>
      <x:c r="H47" s="58"/>
      <x:c r="I47" s="58"/>
      <x:c r="J47" s="58"/>
      <x:c r="K47" s="58"/>
      <x:c r="L47" s="58"/>
      <x:c r="M47" s="59"/>
      <x:c r="N47" s="90" t="s">
        <x:v>59</x:v>
      </x:c>
      <x:c r="O47" s="58"/>
      <x:c r="P47" s="59"/>
      <x:c r="Q47" s="90" t="s">
        <x:v>60</x:v>
      </x:c>
      <x:c r="R47" s="59"/>
      <x:c r="S47" s="90" t="s">
        <x:v>52</x:v>
      </x:c>
      <x:c r="T47" s="59"/>
      <x:c r="U47" s="14"/>
      <x:c r="V47" s="15">
        <x:f t="shared" si="0"/>
        <x:v>46177</x:v>
      </x:c>
      <x:c r="W47" s="16">
        <x:f t="shared" si="1"/>
        <x:v>1</x:v>
      </x:c>
      <x:c r="X47" s="16" t="str">
        <x:f t="shared" si="2"/>
        <x:v>20260604|1</x:v>
      </x:c>
    </x:row>
    <x:row r="48" ht="21" customHeight="1">
      <x:c r="B48" s="7" t="s">
        <x:v>49</x:v>
      </x:c>
      <x:c r="C48" s="8">
        <x:v>5</x:v>
      </x:c>
      <x:c r="D48" s="91" t="s">
        <x:v>27</x:v>
      </x:c>
      <x:c r="E48" s="58"/>
      <x:c r="F48" s="59"/>
      <x:c r="G48" s="91" t="s">
        <x:v>61</x:v>
      </x:c>
      <x:c r="H48" s="58"/>
      <x:c r="I48" s="58"/>
      <x:c r="J48" s="58"/>
      <x:c r="K48" s="58"/>
      <x:c r="L48" s="58"/>
      <x:c r="M48" s="59"/>
      <x:c r="N48" s="91" t="s">
        <x:v>62</x:v>
      </x:c>
      <x:c r="O48" s="58"/>
      <x:c r="P48" s="59"/>
      <x:c r="Q48" s="91" t="s">
        <x:v>63</x:v>
      </x:c>
      <x:c r="R48" s="59"/>
      <x:c r="S48" s="91" t="s">
        <x:v>52</x:v>
      </x:c>
      <x:c r="T48" s="59"/>
      <x:c r="U48" s="9"/>
      <x:c r="V48" s="10">
        <x:f t="shared" si="0"/>
        <x:v>46178</x:v>
      </x:c>
      <x:c r="W48" s="11">
        <x:f t="shared" si="1"/>
        <x:v>1</x:v>
      </x:c>
      <x:c r="X48" s="11" t="str">
        <x:f t="shared" si="2"/>
        <x:v>20260605|1</x:v>
      </x:c>
    </x:row>
    <x:row r="49" ht="21" customHeight="1">
      <x:c r="B49" s="12" t="s">
        <x:v>49</x:v>
      </x:c>
      <x:c r="C49" s="13">
        <x:v>6</x:v>
      </x:c>
      <x:c r="D49" s="90" t="s">
        <x:v>25</x:v>
      </x:c>
      <x:c r="E49" s="58"/>
      <x:c r="F49" s="59"/>
      <x:c r="G49" s="90" t="s">
        <x:v>64</x:v>
      </x:c>
      <x:c r="H49" s="58"/>
      <x:c r="I49" s="58"/>
      <x:c r="J49" s="58"/>
      <x:c r="K49" s="58"/>
      <x:c r="L49" s="58"/>
      <x:c r="M49" s="59"/>
      <x:c r="N49" s="90" t="s">
        <x:v>59</x:v>
      </x:c>
      <x:c r="O49" s="58"/>
      <x:c r="P49" s="59"/>
      <x:c r="Q49" s="90" t="s">
        <x:v>51</x:v>
      </x:c>
      <x:c r="R49" s="59"/>
      <x:c r="S49" s="90" t="s">
        <x:v>52</x:v>
      </x:c>
      <x:c r="T49" s="59"/>
      <x:c r="U49" s="14"/>
      <x:c r="V49" s="15">
        <x:f t="shared" si="0"/>
        <x:v>46181</x:v>
      </x:c>
      <x:c r="W49" s="16">
        <x:f t="shared" si="1"/>
        <x:v>1</x:v>
      </x:c>
      <x:c r="X49" s="16" t="str">
        <x:f t="shared" si="2"/>
        <x:v>20260608|1</x:v>
      </x:c>
    </x:row>
    <x:row r="50" ht="21" customHeight="1">
      <x:c r="B50" s="7" t="s">
        <x:v>49</x:v>
      </x:c>
      <x:c r="C50" s="8">
        <x:v>8</x:v>
      </x:c>
      <x:c r="D50" s="91" t="s">
        <x:v>25</x:v>
      </x:c>
      <x:c r="E50" s="58"/>
      <x:c r="F50" s="59"/>
      <x:c r="G50" s="91" t="s">
        <x:v>65</x:v>
      </x:c>
      <x:c r="H50" s="58"/>
      <x:c r="I50" s="58"/>
      <x:c r="J50" s="58"/>
      <x:c r="K50" s="58"/>
      <x:c r="L50" s="58"/>
      <x:c r="M50" s="59"/>
      <x:c r="N50" s="91" t="s">
        <x:v>66</x:v>
      </x:c>
      <x:c r="O50" s="58"/>
      <x:c r="P50" s="59"/>
      <x:c r="Q50" s="91" t="s">
        <x:v>57</x:v>
      </x:c>
      <x:c r="R50" s="59"/>
      <x:c r="S50" s="91" t="s">
        <x:v>52</x:v>
      </x:c>
      <x:c r="T50" s="59"/>
      <x:c r="U50" s="9"/>
      <x:c r="V50" s="10">
        <x:f t="shared" si="0"/>
        <x:v>46183</x:v>
      </x:c>
      <x:c r="W50" s="11">
        <x:f t="shared" si="1"/>
        <x:v>1</x:v>
      </x:c>
      <x:c r="X50" s="11" t="str">
        <x:f t="shared" si="2"/>
        <x:v>20260610|1</x:v>
      </x:c>
    </x:row>
    <x:row r="51" ht="21" customHeight="1">
      <x:c r="B51" s="12" t="s">
        <x:v>67</x:v>
      </x:c>
      <x:c r="C51" s="13">
        <x:v>12</x:v>
      </x:c>
      <x:c r="D51" s="90" t="s">
        <x:v>25</x:v>
      </x:c>
      <x:c r="E51" s="58"/>
      <x:c r="F51" s="59"/>
      <x:c r="G51" s="90" t="s">
        <x:v>68</x:v>
      </x:c>
      <x:c r="H51" s="58"/>
      <x:c r="I51" s="58"/>
      <x:c r="J51" s="58"/>
      <x:c r="K51" s="58"/>
      <x:c r="L51" s="58"/>
      <x:c r="M51" s="59"/>
      <x:c r="N51" s="90" t="s">
        <x:v>59</x:v>
      </x:c>
      <x:c r="O51" s="58"/>
      <x:c r="P51" s="59"/>
      <x:c r="Q51" s="90" t="s">
        <x:v>60</x:v>
      </x:c>
      <x:c r="R51" s="59"/>
      <x:c r="S51" s="90" t="s">
        <x:v>52</x:v>
      </x:c>
      <x:c r="T51" s="59"/>
      <x:c r="U51" s="14"/>
      <x:c r="V51" s="15">
        <x:f t="shared" si="0"/>
        <x:v>46185</x:v>
      </x:c>
      <x:c r="W51" s="16">
        <x:f t="shared" si="1"/>
        <x:v>1</x:v>
      </x:c>
      <x:c r="X51" s="16" t="str">
        <x:f t="shared" si="2"/>
        <x:v>20260612|1</x:v>
      </x:c>
    </x:row>
    <x:row r="52" ht="21" customHeight="1">
      <x:c r="B52" s="7" t="s">
        <x:v>67</x:v>
      </x:c>
      <x:c r="C52" s="8">
        <x:v>15</x:v>
      </x:c>
      <x:c r="D52" s="91" t="s">
        <x:v>27</x:v>
      </x:c>
      <x:c r="E52" s="58"/>
      <x:c r="F52" s="59"/>
      <x:c r="G52" s="91" t="s">
        <x:v>69</x:v>
      </x:c>
      <x:c r="H52" s="58"/>
      <x:c r="I52" s="58"/>
      <x:c r="J52" s="58"/>
      <x:c r="K52" s="58"/>
      <x:c r="L52" s="58"/>
      <x:c r="M52" s="59"/>
      <x:c r="N52" s="91" t="s">
        <x:v>62</x:v>
      </x:c>
      <x:c r="O52" s="58"/>
      <x:c r="P52" s="59"/>
      <x:c r="Q52" s="91" t="s">
        <x:v>63</x:v>
      </x:c>
      <x:c r="R52" s="59"/>
      <x:c r="S52" s="91" t="s">
        <x:v>52</x:v>
      </x:c>
      <x:c r="T52" s="59"/>
      <x:c r="U52" s="9"/>
      <x:c r="V52" s="10">
        <x:f t="shared" si="0"/>
        <x:v>46188</x:v>
      </x:c>
      <x:c r="W52" s="11">
        <x:f t="shared" si="1"/>
        <x:v>1</x:v>
      </x:c>
      <x:c r="X52" s="11" t="str">
        <x:f t="shared" si="2"/>
        <x:v>20260615|1</x:v>
      </x:c>
    </x:row>
    <x:row r="53" ht="21" customHeight="1">
      <x:c r="B53" s="12" t="s">
        <x:v>67</x:v>
      </x:c>
      <x:c r="C53" s="13">
        <x:v>18</x:v>
      </x:c>
      <x:c r="D53" s="90" t="s">
        <x:v>26</x:v>
      </x:c>
      <x:c r="E53" s="58"/>
      <x:c r="F53" s="59"/>
      <x:c r="G53" s="90" t="s">
        <x:v>70</x:v>
      </x:c>
      <x:c r="H53" s="58"/>
      <x:c r="I53" s="58"/>
      <x:c r="J53" s="58"/>
      <x:c r="K53" s="58"/>
      <x:c r="L53" s="58"/>
      <x:c r="M53" s="59"/>
      <x:c r="N53" s="90" t="s">
        <x:v>59</x:v>
      </x:c>
      <x:c r="O53" s="58"/>
      <x:c r="P53" s="59"/>
      <x:c r="Q53" s="90" t="s">
        <x:v>57</x:v>
      </x:c>
      <x:c r="R53" s="59"/>
      <x:c r="S53" s="90" t="s">
        <x:v>52</x:v>
      </x:c>
      <x:c r="T53" s="59"/>
      <x:c r="U53" s="14"/>
      <x:c r="V53" s="15">
        <x:f t="shared" si="0"/>
        <x:v>46191</x:v>
      </x:c>
      <x:c r="W53" s="16">
        <x:f t="shared" si="1"/>
        <x:v>1</x:v>
      </x:c>
      <x:c r="X53" s="16" t="str">
        <x:f t="shared" si="2"/>
        <x:v>20260618|1</x:v>
      </x:c>
    </x:row>
    <x:row r="54" ht="21" customHeight="1">
      <x:c r="B54" s="7" t="s">
        <x:v>67</x:v>
      </x:c>
      <x:c r="C54" s="8">
        <x:v>20</x:v>
      </x:c>
      <x:c r="D54" s="91" t="s">
        <x:v>26</x:v>
      </x:c>
      <x:c r="E54" s="58"/>
      <x:c r="F54" s="59"/>
      <x:c r="G54" s="91" t="s">
        <x:v>71</x:v>
      </x:c>
      <x:c r="H54" s="58"/>
      <x:c r="I54" s="58"/>
      <x:c r="J54" s="58"/>
      <x:c r="K54" s="58"/>
      <x:c r="L54" s="58"/>
      <x:c r="M54" s="59"/>
      <x:c r="N54" s="91" t="s">
        <x:v>72</x:v>
      </x:c>
      <x:c r="O54" s="58"/>
      <x:c r="P54" s="59"/>
      <x:c r="Q54" s="91" t="s">
        <x:v>54</x:v>
      </x:c>
      <x:c r="R54" s="59"/>
      <x:c r="S54" s="91" t="s">
        <x:v>52</x:v>
      </x:c>
      <x:c r="T54" s="59"/>
      <x:c r="U54" s="9"/>
      <x:c r="V54" s="10">
        <x:f t="shared" si="0"/>
        <x:v>46193</x:v>
      </x:c>
      <x:c r="W54" s="11">
        <x:f t="shared" si="1"/>
        <x:v>1</x:v>
      </x:c>
      <x:c r="X54" s="11" t="str">
        <x:f t="shared" si="2"/>
        <x:v>20260620|1</x:v>
      </x:c>
    </x:row>
    <x:row r="55" ht="21" customHeight="1">
      <x:c r="B55" s="12" t="s">
        <x:v>67</x:v>
      </x:c>
      <x:c r="C55" s="13">
        <x:v>23</x:v>
      </x:c>
      <x:c r="D55" s="90" t="s">
        <x:v>27</x:v>
      </x:c>
      <x:c r="E55" s="58"/>
      <x:c r="F55" s="59"/>
      <x:c r="G55" s="90" t="s">
        <x:v>73</x:v>
      </x:c>
      <x:c r="H55" s="58"/>
      <x:c r="I55" s="58"/>
      <x:c r="J55" s="58"/>
      <x:c r="K55" s="58"/>
      <x:c r="L55" s="58"/>
      <x:c r="M55" s="59"/>
      <x:c r="N55" s="90" t="s">
        <x:v>74</x:v>
      </x:c>
      <x:c r="O55" s="58"/>
      <x:c r="P55" s="59"/>
      <x:c r="Q55" s="90" t="s">
        <x:v>75</x:v>
      </x:c>
      <x:c r="R55" s="59"/>
      <x:c r="S55" s="90" t="s">
        <x:v>52</x:v>
      </x:c>
      <x:c r="T55" s="59"/>
      <x:c r="U55" s="14"/>
      <x:c r="V55" s="15">
        <x:f t="shared" si="0"/>
        <x:v>46196</x:v>
      </x:c>
      <x:c r="W55" s="16">
        <x:f t="shared" si="1"/>
        <x:v>1</x:v>
      </x:c>
      <x:c r="X55" s="16" t="str">
        <x:f t="shared" si="2"/>
        <x:v>20260623|1</x:v>
      </x:c>
    </x:row>
    <x:row r="56" ht="21" customHeight="1">
      <x:c r="B56" s="7" t="s">
        <x:v>76</x:v>
      </x:c>
      <x:c r="C56" s="8">
        <x:v>3</x:v>
      </x:c>
      <x:c r="D56" s="91" t="s">
        <x:v>25</x:v>
      </x:c>
      <x:c r="E56" s="58"/>
      <x:c r="F56" s="59"/>
      <x:c r="G56" s="91" t="s">
        <x:v>77</x:v>
      </x:c>
      <x:c r="H56" s="58"/>
      <x:c r="I56" s="58"/>
      <x:c r="J56" s="58"/>
      <x:c r="K56" s="58"/>
      <x:c r="L56" s="58"/>
      <x:c r="M56" s="59"/>
      <x:c r="N56" s="91" t="s">
        <x:v>59</x:v>
      </x:c>
      <x:c r="O56" s="58"/>
      <x:c r="P56" s="59"/>
      <x:c r="Q56" s="91" t="s">
        <x:v>54</x:v>
      </x:c>
      <x:c r="R56" s="59"/>
      <x:c r="S56" s="91" t="s">
        <x:v>52</x:v>
      </x:c>
      <x:c r="T56" s="59"/>
      <x:c r="U56" s="9"/>
      <x:c r="V56" s="10">
        <x:f t="shared" si="0"/>
        <x:v>46199</x:v>
      </x:c>
      <x:c r="W56" s="11">
        <x:f t="shared" si="1"/>
        <x:v>1</x:v>
      </x:c>
      <x:c r="X56" s="11" t="str">
        <x:f t="shared" si="2"/>
        <x:v>20260626|1</x:v>
      </x:c>
    </x:row>
    <x:row r="57" ht="21" customHeight="1">
      <x:c r="B57" s="12" t="s">
        <x:v>76</x:v>
      </x:c>
      <x:c r="C57" s="13">
        <x:v>1</x:v>
      </x:c>
      <x:c r="D57" s="90" t="s">
        <x:v>28</x:v>
      </x:c>
      <x:c r="E57" s="58"/>
      <x:c r="F57" s="59"/>
      <x:c r="G57" s="90" t="s">
        <x:v>78</x:v>
      </x:c>
      <x:c r="H57" s="58"/>
      <x:c r="I57" s="58"/>
      <x:c r="J57" s="58"/>
      <x:c r="K57" s="58"/>
      <x:c r="L57" s="58"/>
      <x:c r="M57" s="59"/>
      <x:c r="N57" s="90" t="s">
        <x:v>79</x:v>
      </x:c>
      <x:c r="O57" s="58"/>
      <x:c r="P57" s="59"/>
      <x:c r="Q57" s="90" t="s">
        <x:v>80</x:v>
      </x:c>
      <x:c r="R57" s="59"/>
      <x:c r="S57" s="90" t="s">
        <x:v>52</x:v>
      </x:c>
      <x:c r="T57" s="59"/>
      <x:c r="U57" s="14"/>
      <x:c r="V57" s="15">
        <x:f t="shared" si="0"/>
        <x:v>46203</x:v>
      </x:c>
      <x:c r="W57" s="16">
        <x:f t="shared" si="1"/>
        <x:v>1</x:v>
      </x:c>
      <x:c r="X57" s="16" t="str">
        <x:f t="shared" si="2"/>
        <x:v>20260630|1</x:v>
      </x:c>
    </x:row>
    <x:row r="58" ht="21" customHeight="1">
      <x:c r="B58" s="7"/>
      <x:c r="C58" s="8"/>
      <x:c r="D58" s="91"/>
      <x:c r="E58" s="58"/>
      <x:c r="F58" s="59"/>
      <x:c r="G58" s="91"/>
      <x:c r="H58" s="58"/>
      <x:c r="I58" s="58"/>
      <x:c r="J58" s="58"/>
      <x:c r="K58" s="58"/>
      <x:c r="L58" s="58"/>
      <x:c r="M58" s="59"/>
      <x:c r="N58" s="91"/>
      <x:c r="O58" s="58"/>
      <x:c r="P58" s="59"/>
      <x:c r="Q58" s="91"/>
      <x:c r="R58" s="59"/>
      <x:c r="S58" s="91"/>
      <x:c r="T58" s="59"/>
      <x:c r="U58" s="9"/>
      <x:c r="V58" s="10" t="str">
        <x:f t="shared" si="0"/>
      </x:c>
      <x:c r="W58" s="11" t="str">
        <x:f t="shared" si="1"/>
      </x:c>
      <x:c r="X58" s="11" t="str">
        <x:f t="shared" si="2"/>
      </x:c>
    </x:row>
    <x:row r="59" ht="21" customHeight="1">
      <x:c r="B59" s="12"/>
      <x:c r="C59" s="13"/>
      <x:c r="D59" s="90"/>
      <x:c r="E59" s="58"/>
      <x:c r="F59" s="59"/>
      <x:c r="G59" s="90"/>
      <x:c r="H59" s="58"/>
      <x:c r="I59" s="58"/>
      <x:c r="J59" s="58"/>
      <x:c r="K59" s="58"/>
      <x:c r="L59" s="58"/>
      <x:c r="M59" s="59"/>
      <x:c r="N59" s="90"/>
      <x:c r="O59" s="58"/>
      <x:c r="P59" s="59"/>
      <x:c r="Q59" s="90"/>
      <x:c r="R59" s="59"/>
      <x:c r="S59" s="90"/>
      <x:c r="T59" s="59"/>
      <x:c r="U59" s="14"/>
      <x:c r="V59" s="15" t="str">
        <x:f t="shared" si="0"/>
      </x:c>
      <x:c r="W59" s="16" t="str">
        <x:f t="shared" si="1"/>
      </x:c>
      <x:c r="X59" s="16" t="str">
        <x:f t="shared" si="2"/>
      </x:c>
    </x:row>
    <x:row r="60" ht="21" customHeight="1">
      <x:c r="B60" s="7"/>
      <x:c r="C60" s="8"/>
      <x:c r="D60" s="91"/>
      <x:c r="E60" s="58"/>
      <x:c r="F60" s="59"/>
      <x:c r="G60" s="91"/>
      <x:c r="H60" s="58"/>
      <x:c r="I60" s="58"/>
      <x:c r="J60" s="58"/>
      <x:c r="K60" s="58"/>
      <x:c r="L60" s="58"/>
      <x:c r="M60" s="59"/>
      <x:c r="N60" s="91"/>
      <x:c r="O60" s="58"/>
      <x:c r="P60" s="59"/>
      <x:c r="Q60" s="91"/>
      <x:c r="R60" s="59"/>
      <x:c r="S60" s="91"/>
      <x:c r="T60" s="59"/>
      <x:c r="U60" s="9"/>
      <x:c r="V60" s="10" t="str">
        <x:f t="shared" si="0"/>
      </x:c>
      <x:c r="W60" s="11" t="str">
        <x:f t="shared" si="1"/>
      </x:c>
      <x:c r="X60" s="11" t="str">
        <x:f t="shared" si="2"/>
      </x:c>
    </x:row>
    <x:row r="61" ht="21" customHeight="1">
      <x:c r="B61" s="12"/>
      <x:c r="C61" s="13"/>
      <x:c r="D61" s="90"/>
      <x:c r="E61" s="58"/>
      <x:c r="F61" s="59"/>
      <x:c r="G61" s="90"/>
      <x:c r="H61" s="58"/>
      <x:c r="I61" s="58"/>
      <x:c r="J61" s="58"/>
      <x:c r="K61" s="58"/>
      <x:c r="L61" s="58"/>
      <x:c r="M61" s="59"/>
      <x:c r="N61" s="90"/>
      <x:c r="O61" s="58"/>
      <x:c r="P61" s="59"/>
      <x:c r="Q61" s="90"/>
      <x:c r="R61" s="59"/>
      <x:c r="S61" s="90"/>
      <x:c r="T61" s="59"/>
      <x:c r="U61" s="14"/>
      <x:c r="V61" s="15" t="str">
        <x:f t="shared" si="0"/>
      </x:c>
      <x:c r="W61" s="16" t="str">
        <x:f t="shared" si="1"/>
      </x:c>
      <x:c r="X61" s="16" t="str">
        <x:f t="shared" si="2"/>
      </x:c>
    </x:row>
    <x:row r="62" ht="21" customHeight="1">
      <x:c r="B62" s="7"/>
      <x:c r="C62" s="8"/>
      <x:c r="D62" s="91"/>
      <x:c r="E62" s="58"/>
      <x:c r="F62" s="59"/>
      <x:c r="G62" s="91"/>
      <x:c r="H62" s="58"/>
      <x:c r="I62" s="58"/>
      <x:c r="J62" s="58"/>
      <x:c r="K62" s="58"/>
      <x:c r="L62" s="58"/>
      <x:c r="M62" s="59"/>
      <x:c r="N62" s="91"/>
      <x:c r="O62" s="58"/>
      <x:c r="P62" s="59"/>
      <x:c r="Q62" s="91"/>
      <x:c r="R62" s="59"/>
      <x:c r="S62" s="91"/>
      <x:c r="T62" s="59"/>
      <x:c r="U62" s="9"/>
      <x:c r="V62" s="10" t="str">
        <x:f t="shared" si="0"/>
      </x:c>
      <x:c r="W62" s="11" t="str">
        <x:f t="shared" si="1"/>
      </x:c>
      <x:c r="X62" s="11" t="str">
        <x:f t="shared" si="2"/>
      </x:c>
    </x:row>
    <x:row r="63" ht="21" customHeight="1">
      <x:c r="B63" s="12"/>
      <x:c r="C63" s="13"/>
      <x:c r="D63" s="90"/>
      <x:c r="E63" s="58"/>
      <x:c r="F63" s="59"/>
      <x:c r="G63" s="90"/>
      <x:c r="H63" s="58"/>
      <x:c r="I63" s="58"/>
      <x:c r="J63" s="58"/>
      <x:c r="K63" s="58"/>
      <x:c r="L63" s="58"/>
      <x:c r="M63" s="59"/>
      <x:c r="N63" s="90"/>
      <x:c r="O63" s="58"/>
      <x:c r="P63" s="59"/>
      <x:c r="Q63" s="90"/>
      <x:c r="R63" s="59"/>
      <x:c r="S63" s="90"/>
      <x:c r="T63" s="59"/>
      <x:c r="U63" s="14"/>
      <x:c r="V63" s="15" t="str">
        <x:f t="shared" si="0"/>
      </x:c>
      <x:c r="W63" s="16" t="str">
        <x:f t="shared" si="1"/>
      </x:c>
      <x:c r="X63" s="16" t="str">
        <x:f t="shared" si="2"/>
      </x:c>
    </x:row>
    <x:row r="64" ht="21" customHeight="1">
      <x:c r="B64" s="7"/>
      <x:c r="C64" s="8"/>
      <x:c r="D64" s="91"/>
      <x:c r="E64" s="58"/>
      <x:c r="F64" s="59"/>
      <x:c r="G64" s="91"/>
      <x:c r="H64" s="58"/>
      <x:c r="I64" s="58"/>
      <x:c r="J64" s="58"/>
      <x:c r="K64" s="58"/>
      <x:c r="L64" s="58"/>
      <x:c r="M64" s="59"/>
      <x:c r="N64" s="91"/>
      <x:c r="O64" s="58"/>
      <x:c r="P64" s="59"/>
      <x:c r="Q64" s="91"/>
      <x:c r="R64" s="59"/>
      <x:c r="S64" s="91"/>
      <x:c r="T64" s="59"/>
      <x:c r="U64" s="9"/>
      <x:c r="V64" s="10" t="str">
        <x:f t="shared" si="0"/>
      </x:c>
      <x:c r="W64" s="11" t="str">
        <x:f t="shared" si="1"/>
      </x:c>
      <x:c r="X64" s="11" t="str">
        <x:f t="shared" si="2"/>
      </x:c>
    </x:row>
    <x:row r="65" ht="21" customHeight="1">
      <x:c r="B65" s="12"/>
      <x:c r="C65" s="13"/>
      <x:c r="D65" s="90"/>
      <x:c r="E65" s="58"/>
      <x:c r="F65" s="59"/>
      <x:c r="G65" s="90"/>
      <x:c r="H65" s="58"/>
      <x:c r="I65" s="58"/>
      <x:c r="J65" s="58"/>
      <x:c r="K65" s="58"/>
      <x:c r="L65" s="58"/>
      <x:c r="M65" s="59"/>
      <x:c r="N65" s="90"/>
      <x:c r="O65" s="58"/>
      <x:c r="P65" s="59"/>
      <x:c r="Q65" s="90"/>
      <x:c r="R65" s="59"/>
      <x:c r="S65" s="90"/>
      <x:c r="T65" s="59"/>
      <x:c r="U65" s="14"/>
      <x:c r="V65" s="15" t="str">
        <x:f t="shared" si="0"/>
      </x:c>
      <x:c r="W65" s="16" t="str">
        <x:f t="shared" si="1"/>
      </x:c>
      <x:c r="X65" s="16" t="str">
        <x:f t="shared" si="2"/>
      </x:c>
    </x:row>
    <x:row r="66" ht="21" customHeight="1">
      <x:c r="B66" s="7"/>
      <x:c r="C66" s="8"/>
      <x:c r="D66" s="91"/>
      <x:c r="E66" s="58"/>
      <x:c r="F66" s="59"/>
      <x:c r="G66" s="91"/>
      <x:c r="H66" s="58"/>
      <x:c r="I66" s="58"/>
      <x:c r="J66" s="58"/>
      <x:c r="K66" s="58"/>
      <x:c r="L66" s="58"/>
      <x:c r="M66" s="59"/>
      <x:c r="N66" s="91"/>
      <x:c r="O66" s="58"/>
      <x:c r="P66" s="59"/>
      <x:c r="Q66" s="91"/>
      <x:c r="R66" s="59"/>
      <x:c r="S66" s="91"/>
      <x:c r="T66" s="59"/>
      <x:c r="U66" s="9"/>
      <x:c r="V66" s="10" t="str">
        <x:f t="shared" si="0"/>
      </x:c>
      <x:c r="W66" s="11" t="str">
        <x:f t="shared" si="1"/>
      </x:c>
      <x:c r="X66" s="11" t="str">
        <x:f t="shared" si="2"/>
      </x:c>
    </x:row>
    <x:row r="67" ht="21" customHeight="1">
      <x:c r="B67" s="12"/>
      <x:c r="C67" s="13"/>
      <x:c r="D67" s="90"/>
      <x:c r="E67" s="58"/>
      <x:c r="F67" s="59"/>
      <x:c r="G67" s="90"/>
      <x:c r="H67" s="58"/>
      <x:c r="I67" s="58"/>
      <x:c r="J67" s="58"/>
      <x:c r="K67" s="58"/>
      <x:c r="L67" s="58"/>
      <x:c r="M67" s="59"/>
      <x:c r="N67" s="90"/>
      <x:c r="O67" s="58"/>
      <x:c r="P67" s="59"/>
      <x:c r="Q67" s="90"/>
      <x:c r="R67" s="59"/>
      <x:c r="S67" s="90"/>
      <x:c r="T67" s="59"/>
      <x:c r="U67" s="14"/>
      <x:c r="V67" s="15" t="str">
        <x:f t="shared" si="0"/>
      </x:c>
      <x:c r="W67" s="16" t="str">
        <x:f t="shared" si="1"/>
      </x:c>
      <x:c r="X67" s="16" t="str">
        <x:f t="shared" si="2"/>
      </x:c>
    </x:row>
    <x:row r="68" ht="6.75" customHeight="1"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</x:row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B13:D13"/>
    <x:mergeCell ref="E13:G13"/>
    <x:mergeCell ref="H13:J13"/>
    <x:mergeCell ref="K13:M13"/>
    <x:mergeCell ref="N13:P13"/>
    <x:mergeCell ref="Q13:S13"/>
    <x:mergeCell ref="T13:V13"/>
    <x:mergeCell ref="B14:D14"/>
    <x:mergeCell ref="E14:G14"/>
    <x:mergeCell ref="H14:J14"/>
    <x:mergeCell ref="K14:M14"/>
    <x:mergeCell ref="N14:P14"/>
    <x:mergeCell ref="Q14:S14"/>
    <x:mergeCell ref="T14:V14"/>
    <x:mergeCell ref="B15:D15"/>
    <x:mergeCell ref="E15:G15"/>
    <x:mergeCell ref="H15:J15"/>
    <x:mergeCell ref="K15:M15"/>
    <x:mergeCell ref="N15:P15"/>
    <x:mergeCell ref="Q15:S15"/>
    <x:mergeCell ref="T15:V15"/>
    <x:mergeCell ref="B16:D16"/>
    <x:mergeCell ref="E16:G16"/>
    <x:mergeCell ref="H16:J16"/>
    <x:mergeCell ref="K16:M16"/>
    <x:mergeCell ref="N16:P16"/>
    <x:mergeCell ref="Q16:S16"/>
    <x:mergeCell ref="T16:V16"/>
    <x:mergeCell ref="B17:D17"/>
    <x:mergeCell ref="E17:G17"/>
    <x:mergeCell ref="H17:J17"/>
    <x:mergeCell ref="K17:M17"/>
    <x:mergeCell ref="N17:P17"/>
    <x:mergeCell ref="Q17:S17"/>
    <x:mergeCell ref="T17:V17"/>
    <x:mergeCell ref="B18:D18"/>
    <x:mergeCell ref="E18:G18"/>
    <x:mergeCell ref="H18:J18"/>
    <x:mergeCell ref="K18:M18"/>
    <x:mergeCell ref="N18:P18"/>
    <x:mergeCell ref="Q18:S18"/>
    <x:mergeCell ref="T18:V18"/>
    <x:mergeCell ref="B19:D19"/>
    <x:mergeCell ref="E19:G19"/>
    <x:mergeCell ref="H19:J19"/>
    <x:mergeCell ref="K19:M19"/>
    <x:mergeCell ref="N19:P19"/>
    <x:mergeCell ref="Q19:S19"/>
    <x:mergeCell ref="T19:V19"/>
    <x:mergeCell ref="B20:D20"/>
    <x:mergeCell ref="E20:G20"/>
    <x:mergeCell ref="H20:J20"/>
    <x:mergeCell ref="K20:M20"/>
    <x:mergeCell ref="N20:P20"/>
    <x:mergeCell ref="Q20:S20"/>
    <x:mergeCell ref="T20:V20"/>
    <x:mergeCell ref="B21:D21"/>
    <x:mergeCell ref="E21:G21"/>
    <x:mergeCell ref="H21:J21"/>
    <x:mergeCell ref="K21:M21"/>
    <x:mergeCell ref="N21:P21"/>
    <x:mergeCell ref="Q21:S21"/>
    <x:mergeCell ref="T21:V21"/>
    <x:mergeCell ref="B22:D22"/>
    <x:mergeCell ref="E22:G22"/>
    <x:mergeCell ref="H22:J22"/>
    <x:mergeCell ref="K22:M22"/>
    <x:mergeCell ref="N22:P22"/>
    <x:mergeCell ref="Q22:S22"/>
    <x:mergeCell ref="T22:V22"/>
    <x:mergeCell ref="B23:D23"/>
    <x:mergeCell ref="E23:G23"/>
    <x:mergeCell ref="H23:J23"/>
    <x:mergeCell ref="K23:M23"/>
    <x:mergeCell ref="N23:P23"/>
    <x:mergeCell ref="Q23:S23"/>
    <x:mergeCell ref="T23:V23"/>
    <x:mergeCell ref="B24:D24"/>
    <x:mergeCell ref="E24:G24"/>
    <x:mergeCell ref="H24:J24"/>
    <x:mergeCell ref="K24:M24"/>
    <x:mergeCell ref="N24:P24"/>
    <x:mergeCell ref="Q24:S24"/>
    <x:mergeCell ref="T24:V24"/>
    <x:mergeCell ref="B25:D25"/>
    <x:mergeCell ref="E25:G25"/>
    <x:mergeCell ref="H25:J25"/>
    <x:mergeCell ref="K25:M25"/>
    <x:mergeCell ref="N25:P25"/>
    <x:mergeCell ref="Q25:S25"/>
    <x:mergeCell ref="T25:V25"/>
    <x:mergeCell ref="B26:D26"/>
    <x:mergeCell ref="E26:G26"/>
    <x:mergeCell ref="H26:J26"/>
    <x:mergeCell ref="K26:M26"/>
    <x:mergeCell ref="N26:P26"/>
    <x:mergeCell ref="Q26:S26"/>
    <x:mergeCell ref="T26:V26"/>
    <x:mergeCell ref="Q48:R48"/>
    <x:mergeCell ref="S48:T48"/>
    <x:mergeCell ref="N49:P49"/>
    <x:mergeCell ref="Q49:R49"/>
    <x:mergeCell ref="S49:T49"/>
    <x:mergeCell ref="G49:M49"/>
    <x:mergeCell ref="G50:M50"/>
    <x:mergeCell ref="N50:P50"/>
    <x:mergeCell ref="Q50:R50"/>
    <x:mergeCell ref="S50:T50"/>
    <x:mergeCell ref="G51:M51"/>
    <x:mergeCell ref="N51:P51"/>
    <x:mergeCell ref="D47:F47"/>
    <x:mergeCell ref="D48:F48"/>
    <x:mergeCell ref="D49:F49"/>
    <x:mergeCell ref="D50:F50"/>
    <x:mergeCell ref="D51:F51"/>
    <x:mergeCell ref="D52:F52"/>
    <x:mergeCell ref="D53:F53"/>
    <x:mergeCell ref="G52:M52"/>
    <x:mergeCell ref="N52:P52"/>
    <x:mergeCell ref="G48:M48"/>
    <x:mergeCell ref="N48:P48"/>
    <x:mergeCell ref="D61:F61"/>
    <x:mergeCell ref="D62:F62"/>
    <x:mergeCell ref="D63:F63"/>
    <x:mergeCell ref="D64:F64"/>
    <x:mergeCell ref="D65:F65"/>
    <x:mergeCell ref="D66:F66"/>
    <x:mergeCell ref="D67:F67"/>
    <x:mergeCell ref="D54:F54"/>
    <x:mergeCell ref="D55:F55"/>
    <x:mergeCell ref="D56:F56"/>
    <x:mergeCell ref="D57:F57"/>
    <x:mergeCell ref="D58:F58"/>
    <x:mergeCell ref="D59:F59"/>
    <x:mergeCell ref="D60:F60"/>
    <x:mergeCell ref="Q52:R52"/>
    <x:mergeCell ref="S52:T52"/>
    <x:mergeCell ref="N53:P53"/>
    <x:mergeCell ref="Q53:R53"/>
    <x:mergeCell ref="S53:T53"/>
    <x:mergeCell ref="G53:M53"/>
    <x:mergeCell ref="G54:M54"/>
    <x:mergeCell ref="N54:P54"/>
    <x:mergeCell ref="Q54:R54"/>
    <x:mergeCell ref="S54:T54"/>
    <x:mergeCell ref="G55:M55"/>
    <x:mergeCell ref="N55:P55"/>
    <x:mergeCell ref="G56:M56"/>
    <x:mergeCell ref="N56:P56"/>
    <x:mergeCell ref="Q56:R56"/>
    <x:mergeCell ref="S56:T56"/>
    <x:mergeCell ref="N57:P57"/>
    <x:mergeCell ref="Q57:R57"/>
    <x:mergeCell ref="S57:T57"/>
    <x:mergeCell ref="G57:M57"/>
    <x:mergeCell ref="G58:M58"/>
    <x:mergeCell ref="N58:P58"/>
    <x:mergeCell ref="Q58:R58"/>
    <x:mergeCell ref="S58:T58"/>
    <x:mergeCell ref="G59:M59"/>
    <x:mergeCell ref="N59:P59"/>
    <x:mergeCell ref="G60:M60"/>
    <x:mergeCell ref="N60:P60"/>
    <x:mergeCell ref="Q60:R60"/>
    <x:mergeCell ref="S60:T60"/>
    <x:mergeCell ref="N61:P61"/>
    <x:mergeCell ref="Q61:R61"/>
    <x:mergeCell ref="S61:T61"/>
    <x:mergeCell ref="Q63:R63"/>
    <x:mergeCell ref="S63:T63"/>
    <x:mergeCell ref="G61:M61"/>
    <x:mergeCell ref="G62:M62"/>
    <x:mergeCell ref="N62:P62"/>
    <x:mergeCell ref="Q62:R62"/>
    <x:mergeCell ref="S62:T62"/>
    <x:mergeCell ref="G63:M63"/>
    <x:mergeCell ref="N63:P63"/>
    <x:mergeCell ref="G64:M64"/>
    <x:mergeCell ref="N64:P64"/>
    <x:mergeCell ref="Q64:R64"/>
    <x:mergeCell ref="S64:T64"/>
    <x:mergeCell ref="N65:P65"/>
    <x:mergeCell ref="Q65:R65"/>
    <x:mergeCell ref="S65:T65"/>
    <x:mergeCell ref="Q67:R67"/>
    <x:mergeCell ref="S67:T67"/>
    <x:mergeCell ref="G65:M65"/>
    <x:mergeCell ref="G66:M66"/>
    <x:mergeCell ref="N66:P66"/>
    <x:mergeCell ref="Q66:R66"/>
    <x:mergeCell ref="S66:T66"/>
    <x:mergeCell ref="G67:M67"/>
    <x:mergeCell ref="N67:P67"/>
    <x:mergeCell ref="B41:R41"/>
    <x:mergeCell ref="S41:V41"/>
    <x:mergeCell ref="B42:V42"/>
    <x:mergeCell ref="G43:M43"/>
    <x:mergeCell ref="N43:P43"/>
    <x:mergeCell ref="Q43:R43"/>
    <x:mergeCell ref="S43:T43"/>
    <x:mergeCell ref="Q45:R45"/>
    <x:mergeCell ref="S45:T45"/>
    <x:mergeCell ref="Q46:R46"/>
    <x:mergeCell ref="S46:T46"/>
    <x:mergeCell ref="Q47:R47"/>
    <x:mergeCell ref="S47:T47"/>
    <x:mergeCell ref="D43:F43"/>
    <x:mergeCell ref="D44:F44"/>
    <x:mergeCell ref="G44:M44"/>
    <x:mergeCell ref="N44:P44"/>
    <x:mergeCell ref="Q44:R44"/>
    <x:mergeCell ref="S44:T44"/>
    <x:mergeCell ref="D45:F45"/>
    <x:mergeCell ref="G45:M45"/>
    <x:mergeCell ref="N45:P45"/>
    <x:mergeCell ref="D46:F46"/>
    <x:mergeCell ref="G46:M46"/>
    <x:mergeCell ref="N46:P46"/>
    <x:mergeCell ref="G47:M47"/>
    <x:mergeCell ref="N47:P47"/>
    <x:mergeCell ref="Q51:R51"/>
    <x:mergeCell ref="S51:T51"/>
    <x:mergeCell ref="Q55:R55"/>
    <x:mergeCell ref="S55:T55"/>
    <x:mergeCell ref="Q59:R59"/>
    <x:mergeCell ref="S59:T59"/>
    <x:mergeCell ref="B27:D27"/>
    <x:mergeCell ref="E27:G27"/>
    <x:mergeCell ref="H27:J27"/>
    <x:mergeCell ref="K27:M27"/>
    <x:mergeCell ref="N27:P27"/>
    <x:mergeCell ref="Q27:S27"/>
    <x:mergeCell ref="T27:V27"/>
    <x:mergeCell ref="B28:D28"/>
    <x:mergeCell ref="E28:G28"/>
    <x:mergeCell ref="H28:J28"/>
    <x:mergeCell ref="K28:M28"/>
    <x:mergeCell ref="N28:P28"/>
    <x:mergeCell ref="Q28:S28"/>
    <x:mergeCell ref="T28:V28"/>
    <x:mergeCell ref="B29:D29"/>
    <x:mergeCell ref="E29:G29"/>
    <x:mergeCell ref="H29:J29"/>
    <x:mergeCell ref="K29:M29"/>
    <x:mergeCell ref="N29:P29"/>
    <x:mergeCell ref="Q29:S29"/>
    <x:mergeCell ref="T29:V29"/>
    <x:mergeCell ref="B30:D30"/>
    <x:mergeCell ref="E30:G30"/>
    <x:mergeCell ref="H30:J30"/>
    <x:mergeCell ref="K30:M30"/>
    <x:mergeCell ref="N30:P30"/>
    <x:mergeCell ref="Q30:S30"/>
    <x:mergeCell ref="T30:V30"/>
    <x:mergeCell ref="B31:D31"/>
    <x:mergeCell ref="E31:G31"/>
    <x:mergeCell ref="H31:J31"/>
    <x:mergeCell ref="K31:M31"/>
    <x:mergeCell ref="N31:P31"/>
    <x:mergeCell ref="Q31:S31"/>
    <x:mergeCell ref="T31:V31"/>
    <x:mergeCell ref="B32:D32"/>
    <x:mergeCell ref="E32:G32"/>
    <x:mergeCell ref="H32:J32"/>
    <x:mergeCell ref="K32:M32"/>
    <x:mergeCell ref="N32:P32"/>
    <x:mergeCell ref="Q32:S32"/>
    <x:mergeCell ref="T32:V32"/>
    <x:mergeCell ref="B33:D33"/>
    <x:mergeCell ref="E33:G33"/>
    <x:mergeCell ref="H33:J33"/>
    <x:mergeCell ref="K33:M33"/>
    <x:mergeCell ref="N33:P33"/>
    <x:mergeCell ref="Q33:S33"/>
    <x:mergeCell ref="T33:V33"/>
    <x:mergeCell ref="B34:D34"/>
    <x:mergeCell ref="E34:G34"/>
    <x:mergeCell ref="H34:J34"/>
    <x:mergeCell ref="K34:M34"/>
    <x:mergeCell ref="N34:P34"/>
    <x:mergeCell ref="Q34:S34"/>
    <x:mergeCell ref="T34:V34"/>
    <x:mergeCell ref="B35:D35"/>
    <x:mergeCell ref="E35:G35"/>
    <x:mergeCell ref="H35:J35"/>
    <x:mergeCell ref="K35:M35"/>
    <x:mergeCell ref="N35:P35"/>
    <x:mergeCell ref="Q35:S35"/>
    <x:mergeCell ref="T35:V35"/>
    <x:mergeCell ref="B36:D36"/>
    <x:mergeCell ref="E36:G36"/>
    <x:mergeCell ref="H36:J36"/>
    <x:mergeCell ref="K36:M36"/>
    <x:mergeCell ref="N36:P36"/>
    <x:mergeCell ref="Q36:S36"/>
    <x:mergeCell ref="T36:V36"/>
    <x:mergeCell ref="K37:M37"/>
    <x:mergeCell ref="N37:P37"/>
    <x:mergeCell ref="Q37:S37"/>
    <x:mergeCell ref="T37:V37"/>
    <x:mergeCell ref="B38:D38"/>
    <x:mergeCell ref="E38:G38"/>
    <x:mergeCell ref="H38:J38"/>
    <x:mergeCell ref="K38:M38"/>
    <x:mergeCell ref="N38:P38"/>
    <x:mergeCell ref="Q38:S38"/>
    <x:mergeCell ref="T38:V38"/>
    <x:mergeCell ref="B2:N2"/>
    <x:mergeCell ref="P2:R2"/>
    <x:mergeCell ref="T2:V2"/>
    <x:mergeCell ref="B3:N3"/>
    <x:mergeCell ref="P3:R3"/>
    <x:mergeCell ref="T3:V3"/>
    <x:mergeCell ref="B4:V4"/>
    <x:mergeCell ref="B6:E6"/>
    <x:mergeCell ref="F6:H6"/>
    <x:mergeCell ref="I6:K6"/>
    <x:mergeCell ref="L6:N6"/>
    <x:mergeCell ref="O6:Q6"/>
    <x:mergeCell ref="R6:V6"/>
    <x:mergeCell ref="B8:V8"/>
    <x:mergeCell ref="B9:D9"/>
    <x:mergeCell ref="E9:G9"/>
    <x:mergeCell ref="H9:J9"/>
    <x:mergeCell ref="K9:M9"/>
    <x:mergeCell ref="N9:P9"/>
    <x:mergeCell ref="Q9:S9"/>
    <x:mergeCell ref="T9:V9"/>
    <x:mergeCell ref="B10:D10"/>
    <x:mergeCell ref="E10:G10"/>
    <x:mergeCell ref="H10:J10"/>
    <x:mergeCell ref="K10:M10"/>
    <x:mergeCell ref="N10:P10"/>
    <x:mergeCell ref="Q10:S10"/>
    <x:mergeCell ref="T10:V10"/>
    <x:mergeCell ref="B39:D39"/>
    <x:mergeCell ref="E39:G39"/>
    <x:mergeCell ref="H39:J39"/>
    <x:mergeCell ref="K39:M39"/>
    <x:mergeCell ref="N39:P39"/>
    <x:mergeCell ref="Q39:S39"/>
    <x:mergeCell ref="T39:V39"/>
    <x:mergeCell ref="B11:D11"/>
    <x:mergeCell ref="E11:G11"/>
    <x:mergeCell ref="H11:J11"/>
    <x:mergeCell ref="K11:M11"/>
    <x:mergeCell ref="N11:P11"/>
    <x:mergeCell ref="Q11:S11"/>
    <x:mergeCell ref="T11:V11"/>
    <x:mergeCell ref="B12:D12"/>
    <x:mergeCell ref="E12:G12"/>
    <x:mergeCell ref="H12:J12"/>
    <x:mergeCell ref="K12:M12"/>
    <x:mergeCell ref="N12:P12"/>
    <x:mergeCell ref="Q12:S12"/>
    <x:mergeCell ref="T12:V12"/>
    <x:mergeCell ref="B37:D37"/>
    <x:mergeCell ref="E37:G37"/>
    <x:mergeCell ref="H37:J37"/>
  </x:mergeCells>
  <x:conditionalFormatting sqref="B10:V10">
    <x:cfRule type="expression" dxfId="18" priority="1">
      <x:formula>MONTH(B10)&lt;&gt;$X$2</x:formula>
    </x:cfRule>
    <x:cfRule type="expression" dxfId="17" priority="2">
      <x:formula>B10=TODAY()</x:formula>
    </x:cfRule>
  </x:conditionalFormatting>
  <x:conditionalFormatting sqref="B11:V39">
    <x:cfRule type="containsText" dxfId="16" priority="3" operator="containsText" text="[Accounting]">
      <x:formula>NOT(ISERROR(SEARCH(("[Accounting]"),(B11))))</x:formula>
    </x:cfRule>
    <x:cfRule type="containsText" dxfId="15" priority="4" operator="containsText" text="[Close]">
      <x:formula>NOT(ISERROR(SEARCH(("[Close]"),(B11))))</x:formula>
    </x:cfRule>
    <x:cfRule type="containsText" dxfId="14" priority="5" operator="containsText" text="[Planning]">
      <x:formula>NOT(ISERROR(SEARCH(("[Planning]"),(B11))))</x:formula>
    </x:cfRule>
    <x:cfRule type="containsText" dxfId="13" priority="6" operator="containsText" text="[Reporting]">
      <x:formula>NOT(ISERROR(SEARCH(("[Reporting]"),(B11))))</x:formula>
    </x:cfRule>
    <x:cfRule type="containsText" dxfId="12" priority="7" operator="containsText" text="[Review]">
      <x:formula>NOT(ISERROR(SEARCH(("[Review]"),(B11))))</x:formula>
    </x:cfRule>
    <x:cfRule type="containsText" dxfId="11" priority="8" operator="containsText" text="[Operations]">
      <x:formula>NOT(ISERROR(SEARCH(("[Operations]"),(B11))))</x:formula>
    </x:cfRule>
  </x:conditionalFormatting>
  <x:conditionalFormatting sqref="B15:V15">
    <x:cfRule type="expression" dxfId="10" priority="9">
      <x:formula>MONTH(B15)&lt;&gt;$X$2</x:formula>
    </x:cfRule>
    <x:cfRule type="expression" dxfId="9" priority="10">
      <x:formula>B15=TODAY()</x:formula>
    </x:cfRule>
  </x:conditionalFormatting>
  <x:conditionalFormatting sqref="B20:V20">
    <x:cfRule type="expression" dxfId="8" priority="11">
      <x:formula>MONTH(B20)&lt;&gt;$X$2</x:formula>
    </x:cfRule>
    <x:cfRule type="expression" dxfId="7" priority="12">
      <x:formula>B20=TODAY()</x:formula>
    </x:cfRule>
  </x:conditionalFormatting>
  <x:conditionalFormatting sqref="B25:V25">
    <x:cfRule type="expression" dxfId="6" priority="13">
      <x:formula>MONTH(B25)&lt;&gt;$X$2</x:formula>
    </x:cfRule>
    <x:cfRule type="expression" dxfId="5" priority="14">
      <x:formula>B25=TODAY()</x:formula>
    </x:cfRule>
  </x:conditionalFormatting>
  <x:conditionalFormatting sqref="B30:V30">
    <x:cfRule type="expression" dxfId="4" priority="15">
      <x:formula>MONTH(B30)&lt;&gt;$X$2</x:formula>
    </x:cfRule>
    <x:cfRule type="expression" dxfId="3" priority="16">
      <x:formula>B30=TODAY()</x:formula>
    </x:cfRule>
  </x:conditionalFormatting>
  <x:conditionalFormatting sqref="B35:V35">
    <x:cfRule type="expression" dxfId="2" priority="17">
      <x:formula>MONTH(B35)&lt;&gt;$X$2</x:formula>
    </x:cfRule>
    <x:cfRule type="expression" dxfId="1" priority="18">
      <x:formula>B35=TODAY()</x:formula>
    </x:cfRule>
  </x:conditionalFormatting>
  <x:conditionalFormatting sqref="S41:V41">
    <x:cfRule type="containsText" dxfId="0" priority="19" operator="containsText" text="REVIEW">
      <x:formula>NOT(ISERROR(SEARCH(("REVIEW"),(S41))))</x:formula>
    </x:cfRule>
  </x:conditionalFormatting>
  <x:dataValidations count="4">
    <x:dataValidation type="list" allowBlank="1" sqref="S44:S67">
      <x:formula1>"Planned,In Progress,Complete,Deferred"</x:formula1>
    </x:dataValidation>
    <x:dataValidation type="list" allowBlank="1" sqref="B44:B67">
      <x:formula1>"BD+,BD-,Day"</x:formula1>
    </x:dataValidation>
    <x:dataValidation type="list" allowBlank="1" sqref="D44:D67">
      <x:formula1>"Accounting,Close,Planning,Reporting,Review,Operations"</x:formula1>
    </x:dataValidation>
    <x:dataValidation type="list" allowBlank="1" sqref="P3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28" hidden="0" customWidth="1"/>
  </x:cols>
  <x:sheetData>
    <x:row r="1" ht="34" customHeight="1">
      <x:c r="A1" s="97" t="str">
        <x:v>Field Wheat Testing — Modelo de dados operacionais</x:v>
      </x:c>
    </x:row>
    <x:row r="3" ht="34" customHeight="1">
      <x:c r="A3" s="100" t="str">
        <x:v>Preencha ou importe uma tabela por vez. Não altere os nomes das colunas. Datas devem usar o formato AAAA-MM-DD.</x:v>
      </x:c>
    </x:row>
    <x:row r="5">
      <x:c r="A5" s="103" t="str">
        <x:v>Aba</x:v>
      </x:c>
      <x:c r="B5" s="104" t="str">
        <x:v>Finalidade</x:v>
      </x:c>
      <x:c r="C5" s="105" t="str">
        <x:v>Chave principal</x:v>
      </x:c>
    </x:row>
    <x:row r="6">
      <x:c r="A6" s="106" t="str">
        <x:v>Localidades</x:v>
      </x:c>
      <x:c r="B6" s="107" t="str">
        <x:v>Cadastro geográfico e região VCU</x:v>
      </x:c>
      <x:c r="C6" s="108" t="str">
        <x:v>id</x:v>
      </x:c>
    </x:row>
    <x:row r="7">
      <x:c r="A7" s="106" t="str">
        <x:v>Campos</x:v>
      </x:c>
      <x:c r="B7" s="107" t="str">
        <x:v>Áreas físicas vinculadas às localidades</x:v>
      </x:c>
      <x:c r="C7" s="108" t="str">
        <x:v>campo_id</x:v>
      </x:c>
    </x:row>
    <x:row r="8">
      <x:c r="A8" s="106" t="str">
        <x:v>Ensaios</x:v>
      </x:c>
      <x:c r="B8" s="107" t="str">
        <x:v>Ensaios e grupos implantados nos campos</x:v>
      </x:c>
      <x:c r="C8" s="108" t="str">
        <x:v>ensaio_id</x:v>
      </x:c>
    </x:row>
    <x:row r="9">
      <x:c r="A9" s="106" t="str">
        <x:v>Planejamento</x:v>
      </x:c>
      <x:c r="B9" s="107" t="str">
        <x:v>Atividades previstas que alimentam o calendário</x:v>
      </x:c>
      <x:c r="C9" s="108" t="str">
        <x:v>planejamento_id</x:v>
      </x:c>
    </x:row>
    <x:row r="10">
      <x:c r="A10" s="106" t="str">
        <x:v>Atividades</x:v>
      </x:c>
      <x:c r="B10" s="107" t="str">
        <x:v>Planejamento, execução e alertas das visitas</x:v>
      </x:c>
      <x:c r="C10" s="108" t="str">
        <x:v>atividade_id</x:v>
      </x:c>
    </x:row>
    <x:row r="11">
      <x:c r="A11" s="109" t="str">
        <x:v>Configurações</x:v>
      </x:c>
      <x:c r="B11" s="110" t="str">
        <x:v>Parâmetros ajustáveis pelo administrador</x:v>
      </x:c>
      <x:c r="C11" s="111" t="str">
        <x:v>chave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8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112" t="str">
        <x:v>Localidades da rede</x:v>
      </x:c>
    </x:row>
    <x:row r="3" ht="27" customHeight="1">
      <x:c r="A3" s="116" t="str">
        <x:v>id</x:v>
      </x:c>
      <x:c r="B3" s="117" t="str">
        <x:v>nome</x:v>
      </x:c>
      <x:c r="C3" s="117" t="str">
        <x:v>cidade</x:v>
      </x:c>
      <x:c r="D3" s="117" t="str">
        <x:v>uf</x:v>
      </x:c>
      <x:c r="E3" s="117" t="str">
        <x:v>latitude</x:v>
      </x:c>
      <x:c r="F3" s="117" t="str">
        <x:v>longitude</x:v>
      </x:c>
      <x:c r="G3" s="118" t="str">
        <x:v>regiao</x:v>
      </x:c>
    </x:row>
    <x:row r="4" ht="24" customHeight="1">
      <x:c r="A4" s="120" t="str">
        <x:v>LOC001</x:v>
      </x:c>
      <x:c r="B4" s="120" t="str">
        <x:v>PASSO FUNDO - RS</x:v>
      </x:c>
      <x:c r="C4" s="120" t="str">
        <x:v>Passo Fundo</x:v>
      </x:c>
      <x:c r="D4" s="120" t="str">
        <x:v>RS</x:v>
      </x:c>
      <x:c r="E4" s="120" t="n">
        <x:v>-28.2628</x:v>
      </x:c>
      <x:c r="F4" s="120" t="n">
        <x:v>-52.4067</x:v>
      </x:c>
      <x:c r="G4" s="120" t="str">
        <x:v>VCU_1</x:v>
      </x:c>
    </x:row>
  </x:sheetData>
  <x:mergeCells>
    <x:mergeCell ref="A1:G1"/>
  </x:mergeCells>
  <x:dataValidations count="1">
    <x:dataValidation type="list" sqref="G4:G200">
      <x:formula1>"VCU_1,VCU_2"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13" hidden="0" customWidth="1"/>
    <x:col min="5" max="5" width="18" hidden="0" customWidth="1"/>
    <x:col min="6" max="6" width="12" hidden="0" customWidth="1"/>
  </x:cols>
  <x:sheetData>
    <x:row r="1" ht="30" customHeight="1">
      <x:c r="A1" s="112" t="str">
        <x:v>Campos experimentais</x:v>
      </x:c>
    </x:row>
    <x:row r="3" ht="27" customHeight="1">
      <x:c r="A3" s="116" t="str">
        <x:v>campo_id</x:v>
      </x:c>
      <x:c r="B3" s="117" t="str">
        <x:v>localidade_id</x:v>
      </x:c>
      <x:c r="C3" s="117" t="str">
        <x:v>nome</x:v>
      </x:c>
      <x:c r="D3" s="117" t="str">
        <x:v>area_ha</x:v>
      </x:c>
      <x:c r="E3" s="117" t="str">
        <x:v>tipo_solo</x:v>
      </x:c>
      <x:c r="F3" s="118" t="str">
        <x:v>ativo</x:v>
      </x:c>
    </x:row>
    <x:row r="4" ht="24" customHeight="1">
      <x:c r="A4" s="120" t="str">
        <x:v>CAM001</x:v>
      </x:c>
      <x:c r="B4" s="120" t="str">
        <x:v>LOC001</x:v>
      </x:c>
      <x:c r="C4" s="120" t="str">
        <x:v>Campo Norte 01</x:v>
      </x:c>
      <x:c r="D4" s="120" t="n">
        <x:v>2.5</x:v>
      </x:c>
      <x:c r="E4" s="120" t="str">
        <x:v>Latossolo</x:v>
      </x:c>
      <x:c r="F4" s="123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20" hidden="0" customWidth="1"/>
    <x:col min="5" max="5" width="19" hidden="0" customWidth="1"/>
    <x:col min="6" max="6" width="12" hidden="0" customWidth="1"/>
    <x:col min="7" max="7" width="22" hidden="0" customWidth="1"/>
    <x:col min="8" max="8" width="14" hidden="0" customWidth="1"/>
  </x:cols>
  <x:sheetData>
    <x:row r="1" ht="30" customHeight="1">
      <x:c r="A1" s="112" t="str">
        <x:v>Ensaios e grupos em campo</x:v>
      </x:c>
    </x:row>
    <x:row r="3" ht="27" customHeight="1">
      <x:c r="A3" s="116" t="str">
        <x:v>ensaio_id</x:v>
      </x:c>
      <x:c r="B3" s="117" t="str">
        <x:v>campo_id</x:v>
      </x:c>
      <x:c r="C3" s="117" t="str">
        <x:v>nome</x:v>
      </x:c>
      <x:c r="D3" s="117" t="str">
        <x:v>grupo</x:v>
      </x:c>
      <x:c r="E3" s="117" t="str">
        <x:v>data_semeadura</x:v>
      </x:c>
      <x:c r="F3" s="117" t="str">
        <x:v>parcelas</x:v>
      </x:c>
      <x:c r="G3" s="117" t="str">
        <x:v>responsavel</x:v>
      </x:c>
      <x:c r="H3" s="118" t="str">
        <x:v>prioridade</x:v>
      </x:c>
    </x:row>
    <x:row r="4" ht="24" customHeight="1">
      <x:c r="A4" s="120" t="str">
        <x:v>ENS2026_001</x:v>
      </x:c>
      <x:c r="B4" s="120" t="str">
        <x:v>CAM001</x:v>
      </x:c>
      <x:c r="C4" s="120" t="str">
        <x:v>VCU Trigo Pão</x:v>
      </x:c>
      <x:c r="D4" s="120" t="str">
        <x:v>Ensaios</x:v>
      </x:c>
      <x:c r="E4" s="124" t="n">
        <x:v>46188</x:v>
      </x:c>
      <x:c r="F4" s="120" t="n">
        <x:v>60</x:v>
      </x:c>
      <x:c r="G4" s="120" t="str">
        <x:v>Responsável 1</x:v>
      </x:c>
      <x:c r="H4" s="120" t="str">
        <x:v>Normal</x:v>
      </x:c>
    </x:row>
    <x:row r="5">
      <x:c r="E5" s="125"/>
    </x:row>
    <x:row r="6">
      <x:c r="E6" s="125"/>
    </x:row>
    <x:row r="7">
      <x:c r="E7" s="125"/>
    </x:row>
    <x:row r="8">
      <x:c r="E8" s="125"/>
    </x:row>
    <x:row r="9">
      <x:c r="E9" s="125"/>
    </x:row>
    <x:row r="10">
      <x:c r="E10" s="125"/>
    </x:row>
    <x:row r="11">
      <x:c r="E11" s="125"/>
    </x:row>
    <x:row r="12">
      <x:c r="E12" s="125"/>
    </x:row>
    <x:row r="13">
      <x:c r="E13" s="125"/>
    </x:row>
    <x:row r="14">
      <x:c r="E14" s="125"/>
    </x:row>
    <x:row r="15">
      <x:c r="E15" s="125"/>
    </x:row>
    <x:row r="16">
      <x:c r="E16" s="125"/>
    </x:row>
    <x:row r="17">
      <x:c r="E17" s="125"/>
    </x:row>
    <x:row r="18">
      <x:c r="E18" s="125"/>
    </x:row>
    <x:row r="19">
      <x:c r="E19" s="125"/>
    </x:row>
    <x:row r="20">
      <x:c r="E20" s="125"/>
    </x:row>
    <x:row r="21">
      <x:c r="E21" s="125"/>
    </x:row>
    <x:row r="22">
      <x:c r="E22" s="125"/>
    </x:row>
    <x:row r="23">
      <x:c r="E23" s="125"/>
    </x:row>
    <x:row r="24">
      <x:c r="E24" s="125"/>
    </x:row>
    <x:row r="25">
      <x:c r="E25" s="125"/>
    </x:row>
    <x:row r="26">
      <x:c r="E26" s="125"/>
    </x:row>
    <x:row r="27">
      <x:c r="E27" s="125"/>
    </x:row>
    <x:row r="28">
      <x:c r="E28" s="125"/>
    </x:row>
    <x:row r="29">
      <x:c r="E29" s="125"/>
    </x:row>
    <x:row r="30">
      <x:c r="E30" s="125"/>
    </x:row>
    <x:row r="31">
      <x:c r="E31" s="125"/>
    </x:row>
    <x:row r="32">
      <x:c r="E32" s="125"/>
    </x:row>
    <x:row r="33">
      <x:c r="E33" s="125"/>
    </x:row>
    <x:row r="34">
      <x:c r="E34" s="125"/>
    </x:row>
    <x:row r="35">
      <x:c r="E35" s="125"/>
    </x:row>
    <x:row r="36">
      <x:c r="E36" s="125"/>
    </x:row>
    <x:row r="37">
      <x:c r="E37" s="125"/>
    </x:row>
    <x:row r="38">
      <x:c r="E38" s="125"/>
    </x:row>
    <x:row r="39">
      <x:c r="E39" s="125"/>
    </x:row>
    <x:row r="40">
      <x:c r="E40" s="125"/>
    </x:row>
    <x:row r="41">
      <x:c r="E41" s="125"/>
    </x:row>
    <x:row r="42">
      <x:c r="E42" s="125"/>
    </x:row>
    <x:row r="43">
      <x:c r="E43" s="125"/>
    </x:row>
    <x:row r="44">
      <x:c r="E44" s="125"/>
    </x:row>
    <x:row r="45">
      <x:c r="E45" s="125"/>
    </x:row>
    <x:row r="46">
      <x:c r="E46" s="125"/>
    </x:row>
    <x:row r="47">
      <x:c r="E47" s="125"/>
    </x:row>
    <x:row r="48">
      <x:c r="E48" s="125"/>
    </x:row>
    <x:row r="49">
      <x:c r="E49" s="125"/>
    </x:row>
    <x:row r="50">
      <x:c r="E50" s="125"/>
    </x:row>
    <x:row r="51">
      <x:c r="E51" s="125"/>
    </x:row>
    <x:row r="52">
      <x:c r="E52" s="125"/>
    </x:row>
    <x:row r="53">
      <x:c r="E53" s="125"/>
    </x:row>
    <x:row r="54">
      <x:c r="E54" s="125"/>
    </x:row>
    <x:row r="55">
      <x:c r="E55" s="125"/>
    </x:row>
    <x:row r="56">
      <x:c r="E56" s="125"/>
    </x:row>
    <x:row r="57">
      <x:c r="E57" s="125"/>
    </x:row>
    <x:row r="58">
      <x:c r="E58" s="125"/>
    </x:row>
    <x:row r="59">
      <x:c r="E59" s="125"/>
    </x:row>
    <x:row r="60">
      <x:c r="E60" s="125"/>
    </x:row>
    <x:row r="61">
      <x:c r="E61" s="125"/>
    </x:row>
    <x:row r="62">
      <x:c r="E62" s="125"/>
    </x:row>
    <x:row r="63">
      <x:c r="E63" s="125"/>
    </x:row>
    <x:row r="64">
      <x:c r="E64" s="125"/>
    </x:row>
    <x:row r="65">
      <x:c r="E65" s="125"/>
    </x:row>
    <x:row r="66">
      <x:c r="E66" s="125"/>
    </x:row>
    <x:row r="67">
      <x:c r="E67" s="125"/>
    </x:row>
    <x:row r="68">
      <x:c r="E68" s="125"/>
    </x:row>
    <x:row r="69">
      <x:c r="E69" s="125"/>
    </x:row>
    <x:row r="70">
      <x:c r="E70" s="125"/>
    </x:row>
    <x:row r="71">
      <x:c r="E71" s="125"/>
    </x:row>
    <x:row r="72">
      <x:c r="E72" s="125"/>
    </x:row>
    <x:row r="73">
      <x:c r="E73" s="125"/>
    </x:row>
    <x:row r="74">
      <x:c r="E74" s="125"/>
    </x:row>
    <x:row r="75">
      <x:c r="E75" s="125"/>
    </x:row>
    <x:row r="76">
      <x:c r="E76" s="125"/>
    </x:row>
    <x:row r="77">
      <x:c r="E77" s="125"/>
    </x:row>
    <x:row r="78">
      <x:c r="E78" s="125"/>
    </x:row>
    <x:row r="79">
      <x:c r="E79" s="125"/>
    </x:row>
    <x:row r="80">
      <x:c r="E80" s="125"/>
    </x:row>
    <x:row r="81">
      <x:c r="E81" s="125"/>
    </x:row>
    <x:row r="82">
      <x:c r="E82" s="125"/>
    </x:row>
    <x:row r="83">
      <x:c r="E83" s="125"/>
    </x:row>
    <x:row r="84">
      <x:c r="E84" s="125"/>
    </x:row>
    <x:row r="85">
      <x:c r="E85" s="125"/>
    </x:row>
    <x:row r="86">
      <x:c r="E86" s="125"/>
    </x:row>
    <x:row r="87">
      <x:c r="E87" s="125"/>
    </x:row>
    <x:row r="88">
      <x:c r="E88" s="125"/>
    </x:row>
    <x:row r="89">
      <x:c r="E89" s="125"/>
    </x:row>
    <x:row r="90">
      <x:c r="E90" s="125"/>
    </x:row>
    <x:row r="91">
      <x:c r="E91" s="125"/>
    </x:row>
    <x:row r="92">
      <x:c r="E92" s="125"/>
    </x:row>
    <x:row r="93">
      <x:c r="E93" s="125"/>
    </x:row>
    <x:row r="94">
      <x:c r="E94" s="125"/>
    </x:row>
    <x:row r="95">
      <x:c r="E95" s="125"/>
    </x:row>
    <x:row r="96">
      <x:c r="E96" s="125"/>
    </x:row>
    <x:row r="97">
      <x:c r="E97" s="125"/>
    </x:row>
    <x:row r="98">
      <x:c r="E98" s="125"/>
    </x:row>
    <x:row r="99">
      <x:c r="E99" s="125"/>
    </x:row>
    <x:row r="100">
      <x:c r="E100" s="125"/>
    </x:row>
    <x:row r="101">
      <x:c r="E101" s="125"/>
    </x:row>
    <x:row r="102">
      <x:c r="E102" s="125"/>
    </x:row>
    <x:row r="103">
      <x:c r="E103" s="125"/>
    </x:row>
    <x:row r="104">
      <x:c r="E104" s="125"/>
    </x:row>
    <x:row r="105">
      <x:c r="E105" s="125"/>
    </x:row>
    <x:row r="106">
      <x:c r="E106" s="125"/>
    </x:row>
    <x:row r="107">
      <x:c r="E107" s="125"/>
    </x:row>
    <x:row r="108">
      <x:c r="E108" s="125"/>
    </x:row>
    <x:row r="109">
      <x:c r="E109" s="125"/>
    </x:row>
    <x:row r="110">
      <x:c r="E110" s="125"/>
    </x:row>
    <x:row r="111">
      <x:c r="E111" s="125"/>
    </x:row>
    <x:row r="112">
      <x:c r="E112" s="125"/>
    </x:row>
    <x:row r="113">
      <x:c r="E113" s="125"/>
    </x:row>
    <x:row r="114">
      <x:c r="E114" s="125"/>
    </x:row>
    <x:row r="115">
      <x:c r="E115" s="125"/>
    </x:row>
    <x:row r="116">
      <x:c r="E116" s="125"/>
    </x:row>
    <x:row r="117">
      <x:c r="E117" s="125"/>
    </x:row>
    <x:row r="118">
      <x:c r="E118" s="125"/>
    </x:row>
    <x:row r="119">
      <x:c r="E119" s="125"/>
    </x:row>
    <x:row r="120">
      <x:c r="E120" s="125"/>
    </x:row>
    <x:row r="121">
      <x:c r="E121" s="125"/>
    </x:row>
    <x:row r="122">
      <x:c r="E122" s="125"/>
    </x:row>
    <x:row r="123">
      <x:c r="E123" s="125"/>
    </x:row>
    <x:row r="124">
      <x:c r="E124" s="125"/>
    </x:row>
    <x:row r="125">
      <x:c r="E125" s="125"/>
    </x:row>
    <x:row r="126">
      <x:c r="E126" s="125"/>
    </x:row>
    <x:row r="127">
      <x:c r="E127" s="125"/>
    </x:row>
    <x:row r="128">
      <x:c r="E128" s="125"/>
    </x:row>
    <x:row r="129">
      <x:c r="E129" s="125"/>
    </x:row>
    <x:row r="130">
      <x:c r="E130" s="125"/>
    </x:row>
    <x:row r="131">
      <x:c r="E131" s="125"/>
    </x:row>
    <x:row r="132">
      <x:c r="E132" s="125"/>
    </x:row>
    <x:row r="133">
      <x:c r="E133" s="125"/>
    </x:row>
    <x:row r="134">
      <x:c r="E134" s="125"/>
    </x:row>
    <x:row r="135">
      <x:c r="E135" s="125"/>
    </x:row>
    <x:row r="136">
      <x:c r="E136" s="125"/>
    </x:row>
    <x:row r="137">
      <x:c r="E137" s="125"/>
    </x:row>
    <x:row r="138">
      <x:c r="E138" s="125"/>
    </x:row>
    <x:row r="139">
      <x:c r="E139" s="125"/>
    </x:row>
    <x:row r="140">
      <x:c r="E140" s="125"/>
    </x:row>
    <x:row r="141">
      <x:c r="E141" s="125"/>
    </x:row>
    <x:row r="142">
      <x:c r="E142" s="125"/>
    </x:row>
    <x:row r="143">
      <x:c r="E143" s="125"/>
    </x:row>
    <x:row r="144">
      <x:c r="E144" s="125"/>
    </x:row>
    <x:row r="145">
      <x:c r="E145" s="125"/>
    </x:row>
    <x:row r="146">
      <x:c r="E146" s="125"/>
    </x:row>
    <x:row r="147">
      <x:c r="E147" s="125"/>
    </x:row>
    <x:row r="148">
      <x:c r="E148" s="125"/>
    </x:row>
    <x:row r="149">
      <x:c r="E149" s="125"/>
    </x:row>
    <x:row r="150">
      <x:c r="E150" s="125"/>
    </x:row>
    <x:row r="151">
      <x:c r="E151" s="125"/>
    </x:row>
    <x:row r="152">
      <x:c r="E152" s="125"/>
    </x:row>
    <x:row r="153">
      <x:c r="E153" s="125"/>
    </x:row>
    <x:row r="154">
      <x:c r="E154" s="125"/>
    </x:row>
    <x:row r="155">
      <x:c r="E155" s="125"/>
    </x:row>
    <x:row r="156">
      <x:c r="E156" s="125"/>
    </x:row>
    <x:row r="157">
      <x:c r="E157" s="125"/>
    </x:row>
    <x:row r="158">
      <x:c r="E158" s="125"/>
    </x:row>
    <x:row r="159">
      <x:c r="E159" s="125"/>
    </x:row>
    <x:row r="160">
      <x:c r="E160" s="125"/>
    </x:row>
    <x:row r="161">
      <x:c r="E161" s="125"/>
    </x:row>
    <x:row r="162">
      <x:c r="E162" s="125"/>
    </x:row>
    <x:row r="163">
      <x:c r="E163" s="125"/>
    </x:row>
    <x:row r="164">
      <x:c r="E164" s="125"/>
    </x:row>
    <x:row r="165">
      <x:c r="E165" s="125"/>
    </x:row>
    <x:row r="166">
      <x:c r="E166" s="125"/>
    </x:row>
    <x:row r="167">
      <x:c r="E167" s="125"/>
    </x:row>
    <x:row r="168">
      <x:c r="E168" s="125"/>
    </x:row>
    <x:row r="169">
      <x:c r="E169" s="125"/>
    </x:row>
    <x:row r="170">
      <x:c r="E170" s="125"/>
    </x:row>
    <x:row r="171">
      <x:c r="E171" s="125"/>
    </x:row>
    <x:row r="172">
      <x:c r="E172" s="125"/>
    </x:row>
    <x:row r="173">
      <x:c r="E173" s="125"/>
    </x:row>
    <x:row r="174">
      <x:c r="E174" s="125"/>
    </x:row>
    <x:row r="175">
      <x:c r="E175" s="125"/>
    </x:row>
    <x:row r="176">
      <x:c r="E176" s="125"/>
    </x:row>
    <x:row r="177">
      <x:c r="E177" s="125"/>
    </x:row>
    <x:row r="178">
      <x:c r="E178" s="125"/>
    </x:row>
    <x:row r="179">
      <x:c r="E179" s="125"/>
    </x:row>
    <x:row r="180">
      <x:c r="E180" s="125"/>
    </x:row>
    <x:row r="181">
      <x:c r="E181" s="125"/>
    </x:row>
    <x:row r="182">
      <x:c r="E182" s="125"/>
    </x:row>
    <x:row r="183">
      <x:c r="E183" s="125"/>
    </x:row>
    <x:row r="184">
      <x:c r="E184" s="125"/>
    </x:row>
    <x:row r="185">
      <x:c r="E185" s="125"/>
    </x:row>
    <x:row r="186">
      <x:c r="E186" s="125"/>
    </x:row>
    <x:row r="187">
      <x:c r="E187" s="125"/>
    </x:row>
    <x:row r="188">
      <x:c r="E188" s="125"/>
    </x:row>
    <x:row r="189">
      <x:c r="E189" s="125"/>
    </x:row>
    <x:row r="190">
      <x:c r="E190" s="125"/>
    </x:row>
    <x:row r="191">
      <x:c r="E191" s="125"/>
    </x:row>
    <x:row r="192">
      <x:c r="E192" s="125"/>
    </x:row>
    <x:row r="193">
      <x:c r="E193" s="125"/>
    </x:row>
    <x:row r="194">
      <x:c r="E194" s="125"/>
    </x:row>
    <x:row r="195">
      <x:c r="E195" s="125"/>
    </x:row>
    <x:row r="196">
      <x:c r="E196" s="125"/>
    </x:row>
    <x:row r="197">
      <x:c r="E197" s="125"/>
    </x:row>
    <x:row r="198">
      <x:c r="E198" s="125"/>
    </x:row>
    <x:row r="199">
      <x:c r="E199" s="125"/>
    </x:row>
    <x:row r="200">
      <x:c r="E200" s="125"/>
    </x:row>
  </x:sheetData>
  <x:mergeCells>
    <x:mergeCell ref="A1:H1"/>
  </x:mergeCells>
  <x:dataValidations count="2">
    <x:dataValidation type="list" sqref="D4:D200">
      <x:formula1>"Ensaios,Coleção,Founder,Multiqualidades"</x:formula1>
    </x:dataValidation>
    <x:dataValidation type="list" sqref="H4:H200">
      <x:formula1>"Normal,Alta,Crítica"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32" hidden="0" customWidth="1"/>
    <x:col min="5" max="5" width="16" hidden="0" customWidth="1"/>
    <x:col min="6" max="6" width="18" hidden="0" customWidth="1"/>
    <x:col min="7" max="7" width="22" hidden="0" customWidth="1"/>
    <x:col min="8" max="8" width="14" hidden="0" customWidth="1"/>
    <x:col min="9" max="9" width="16" hidden="0" customWidth="1"/>
    <x:col min="10" max="10" width="38" hidden="0" customWidth="1"/>
  </x:cols>
  <x:sheetData>
    <x:row r="1" ht="30" customHeight="1">
      <x:c r="A1" s="112" t="str">
        <x:v>Planejamento operacional por ensaio</x:v>
      </x:c>
    </x:row>
    <x:row r="3" ht="27" customHeight="1">
      <x:c r="A3" s="116" t="str">
        <x:v>planejamento_id</x:v>
      </x:c>
      <x:c r="B3" s="117" t="str">
        <x:v>localidade_id</x:v>
      </x:c>
      <x:c r="C3" s="117" t="str">
        <x:v>ensaio_id</x:v>
      </x:c>
      <x:c r="D3" s="117" t="str">
        <x:v>atividade</x:v>
      </x:c>
      <x:c r="E3" s="117" t="str">
        <x:v>etapa</x:v>
      </x:c>
      <x:c r="F3" s="117" t="str">
        <x:v>data_prevista</x:v>
      </x:c>
      <x:c r="G3" s="117" t="str">
        <x:v>responsavel</x:v>
      </x:c>
      <x:c r="H3" s="117" t="str">
        <x:v>prioridade</x:v>
      </x:c>
      <x:c r="I3" s="117" t="str">
        <x:v>status</x:v>
      </x:c>
      <x:c r="J3" s="118" t="str">
        <x:v>observacoes</x:v>
      </x:c>
    </x:row>
    <x:row r="4" ht="24" customHeight="1">
      <x:c r="A4" s="120" t="str">
        <x:v>PLAN001</x:v>
      </x:c>
      <x:c r="B4" s="120" t="str">
        <x:v>LOC001</x:v>
      </x:c>
      <x:c r="C4" s="120" t="str">
        <x:v>ENS2026_001</x:v>
      </x:c>
      <x:c r="D4" s="120" t="str">
        <x:v>Avaliação de estabelecimento</x:v>
      </x:c>
      <x:c r="E4" s="120" t="str">
        <x:v>Condução</x:v>
      </x:c>
      <x:c r="F4" s="124" t="n">
        <x:v>46200</x:v>
      </x:c>
      <x:c r="G4" s="120" t="str">
        <x:v>Responsável 1</x:v>
      </x:c>
      <x:c r="H4" s="120" t="str">
        <x:v>Normal</x:v>
      </x:c>
      <x:c r="I4" s="120" t="str">
        <x:v>Planejado</x:v>
      </x:c>
      <x:c r="J4" s="120" t="str">
        <x:v>Gerado a partir da semeadura prevista</x:v>
      </x:c>
    </x:row>
    <x:row r="5">
      <x:c r="F5" s="125"/>
    </x:row>
    <x:row r="6">
      <x:c r="F6" s="125"/>
    </x:row>
    <x:row r="7">
      <x:c r="F7" s="125"/>
    </x:row>
    <x:row r="8">
      <x:c r="F8" s="125"/>
    </x:row>
    <x:row r="9">
      <x:c r="F9" s="125"/>
    </x:row>
    <x:row r="10">
      <x:c r="F10" s="125"/>
    </x:row>
    <x:row r="11">
      <x:c r="F11" s="125"/>
    </x:row>
    <x:row r="12">
      <x:c r="F12" s="125"/>
    </x:row>
    <x:row r="13">
      <x:c r="F13" s="125"/>
    </x:row>
    <x:row r="14">
      <x:c r="F14" s="125"/>
    </x:row>
    <x:row r="15">
      <x:c r="F15" s="125"/>
    </x:row>
    <x:row r="16">
      <x:c r="F16" s="125"/>
    </x:row>
    <x:row r="17">
      <x:c r="F17" s="125"/>
    </x:row>
    <x:row r="18">
      <x:c r="F18" s="125"/>
    </x:row>
    <x:row r="19">
      <x:c r="F19" s="125"/>
    </x:row>
    <x:row r="20">
      <x:c r="F20" s="125"/>
    </x:row>
    <x:row r="21">
      <x:c r="F21" s="125"/>
    </x:row>
    <x:row r="22">
      <x:c r="F22" s="125"/>
    </x:row>
    <x:row r="23">
      <x:c r="F23" s="125"/>
    </x:row>
    <x:row r="24">
      <x:c r="F24" s="125"/>
    </x:row>
    <x:row r="25">
      <x:c r="F25" s="125"/>
    </x:row>
    <x:row r="26">
      <x:c r="F26" s="125"/>
    </x:row>
    <x:row r="27">
      <x:c r="F27" s="125"/>
    </x:row>
    <x:row r="28">
      <x:c r="F28" s="125"/>
    </x:row>
    <x:row r="29">
      <x:c r="F29" s="125"/>
    </x:row>
    <x:row r="30">
      <x:c r="F30" s="125"/>
    </x:row>
    <x:row r="31">
      <x:c r="F31" s="125"/>
    </x:row>
    <x:row r="32">
      <x:c r="F32" s="125"/>
    </x:row>
    <x:row r="33">
      <x:c r="F33" s="125"/>
    </x:row>
    <x:row r="34">
      <x:c r="F34" s="125"/>
    </x:row>
    <x:row r="35">
      <x:c r="F35" s="125"/>
    </x:row>
    <x:row r="36">
      <x:c r="F36" s="125"/>
    </x:row>
    <x:row r="37">
      <x:c r="F37" s="125"/>
    </x:row>
    <x:row r="38">
      <x:c r="F38" s="125"/>
    </x:row>
    <x:row r="39">
      <x:c r="F39" s="125"/>
    </x:row>
    <x:row r="40">
      <x:c r="F40" s="125"/>
    </x:row>
    <x:row r="41">
      <x:c r="F41" s="125"/>
    </x:row>
    <x:row r="42">
      <x:c r="F42" s="125"/>
    </x:row>
    <x:row r="43">
      <x:c r="F43" s="125"/>
    </x:row>
    <x:row r="44">
      <x:c r="F44" s="125"/>
    </x:row>
    <x:row r="45">
      <x:c r="F45" s="125"/>
    </x:row>
    <x:row r="46">
      <x:c r="F46" s="125"/>
    </x:row>
    <x:row r="47">
      <x:c r="F47" s="125"/>
    </x:row>
    <x:row r="48">
      <x:c r="F48" s="125"/>
    </x:row>
    <x:row r="49">
      <x:c r="F49" s="125"/>
    </x:row>
    <x:row r="50">
      <x:c r="F50" s="125"/>
    </x:row>
    <x:row r="51">
      <x:c r="F51" s="125"/>
    </x:row>
    <x:row r="52">
      <x:c r="F52" s="125"/>
    </x:row>
    <x:row r="53">
      <x:c r="F53" s="125"/>
    </x:row>
    <x:row r="54">
      <x:c r="F54" s="125"/>
    </x:row>
    <x:row r="55">
      <x:c r="F55" s="125"/>
    </x:row>
    <x:row r="56">
      <x:c r="F56" s="125"/>
    </x:row>
    <x:row r="57">
      <x:c r="F57" s="125"/>
    </x:row>
    <x:row r="58">
      <x:c r="F58" s="125"/>
    </x:row>
    <x:row r="59">
      <x:c r="F59" s="125"/>
    </x:row>
    <x:row r="60">
      <x:c r="F60" s="125"/>
    </x:row>
    <x:row r="61">
      <x:c r="F61" s="125"/>
    </x:row>
    <x:row r="62">
      <x:c r="F62" s="125"/>
    </x:row>
    <x:row r="63">
      <x:c r="F63" s="125"/>
    </x:row>
    <x:row r="64">
      <x:c r="F64" s="125"/>
    </x:row>
    <x:row r="65">
      <x:c r="F65" s="125"/>
    </x:row>
    <x:row r="66">
      <x:c r="F66" s="125"/>
    </x:row>
    <x:row r="67">
      <x:c r="F67" s="125"/>
    </x:row>
    <x:row r="68">
      <x:c r="F68" s="125"/>
    </x:row>
    <x:row r="69">
      <x:c r="F69" s="125"/>
    </x:row>
    <x:row r="70">
      <x:c r="F70" s="125"/>
    </x:row>
    <x:row r="71">
      <x:c r="F71" s="125"/>
    </x:row>
    <x:row r="72">
      <x:c r="F72" s="125"/>
    </x:row>
    <x:row r="73">
      <x:c r="F73" s="125"/>
    </x:row>
    <x:row r="74">
      <x:c r="F74" s="125"/>
    </x:row>
    <x:row r="75">
      <x:c r="F75" s="125"/>
    </x:row>
    <x:row r="76">
      <x:c r="F76" s="125"/>
    </x:row>
    <x:row r="77">
      <x:c r="F77" s="125"/>
    </x:row>
    <x:row r="78">
      <x:c r="F78" s="125"/>
    </x:row>
    <x:row r="79">
      <x:c r="F79" s="125"/>
    </x:row>
    <x:row r="80">
      <x:c r="F80" s="125"/>
    </x:row>
    <x:row r="81">
      <x:c r="F81" s="125"/>
    </x:row>
    <x:row r="82">
      <x:c r="F82" s="125"/>
    </x:row>
    <x:row r="83">
      <x:c r="F83" s="125"/>
    </x:row>
    <x:row r="84">
      <x:c r="F84" s="125"/>
    </x:row>
    <x:row r="85">
      <x:c r="F85" s="125"/>
    </x:row>
    <x:row r="86">
      <x:c r="F86" s="125"/>
    </x:row>
    <x:row r="87">
      <x:c r="F87" s="125"/>
    </x:row>
    <x:row r="88">
      <x:c r="F88" s="125"/>
    </x:row>
    <x:row r="89">
      <x:c r="F89" s="125"/>
    </x:row>
    <x:row r="90">
      <x:c r="F90" s="125"/>
    </x:row>
    <x:row r="91">
      <x:c r="F91" s="125"/>
    </x:row>
    <x:row r="92">
      <x:c r="F92" s="125"/>
    </x:row>
    <x:row r="93">
      <x:c r="F93" s="125"/>
    </x:row>
    <x:row r="94">
      <x:c r="F94" s="125"/>
    </x:row>
    <x:row r="95">
      <x:c r="F95" s="125"/>
    </x:row>
    <x:row r="96">
      <x:c r="F96" s="125"/>
    </x:row>
    <x:row r="97">
      <x:c r="F97" s="125"/>
    </x:row>
    <x:row r="98">
      <x:c r="F98" s="125"/>
    </x:row>
    <x:row r="99">
      <x:c r="F99" s="125"/>
    </x:row>
    <x:row r="100">
      <x:c r="F100" s="125"/>
    </x:row>
    <x:row r="101">
      <x:c r="F101" s="125"/>
    </x:row>
    <x:row r="102">
      <x:c r="F102" s="125"/>
    </x:row>
    <x:row r="103">
      <x:c r="F103" s="125"/>
    </x:row>
    <x:row r="104">
      <x:c r="F104" s="125"/>
    </x:row>
    <x:row r="105">
      <x:c r="F105" s="125"/>
    </x:row>
    <x:row r="106">
      <x:c r="F106" s="125"/>
    </x:row>
    <x:row r="107">
      <x:c r="F107" s="125"/>
    </x:row>
    <x:row r="108">
      <x:c r="F108" s="125"/>
    </x:row>
    <x:row r="109">
      <x:c r="F109" s="125"/>
    </x:row>
    <x:row r="110">
      <x:c r="F110" s="125"/>
    </x:row>
    <x:row r="111">
      <x:c r="F111" s="125"/>
    </x:row>
    <x:row r="112">
      <x:c r="F112" s="125"/>
    </x:row>
    <x:row r="113">
      <x:c r="F113" s="125"/>
    </x:row>
    <x:row r="114">
      <x:c r="F114" s="125"/>
    </x:row>
    <x:row r="115">
      <x:c r="F115" s="125"/>
    </x:row>
    <x:row r="116">
      <x:c r="F116" s="125"/>
    </x:row>
    <x:row r="117">
      <x:c r="F117" s="125"/>
    </x:row>
    <x:row r="118">
      <x:c r="F118" s="125"/>
    </x:row>
    <x:row r="119">
      <x:c r="F119" s="125"/>
    </x:row>
    <x:row r="120">
      <x:c r="F120" s="125"/>
    </x:row>
    <x:row r="121">
      <x:c r="F121" s="125"/>
    </x:row>
    <x:row r="122">
      <x:c r="F122" s="125"/>
    </x:row>
    <x:row r="123">
      <x:c r="F123" s="125"/>
    </x:row>
    <x:row r="124">
      <x:c r="F124" s="125"/>
    </x:row>
    <x:row r="125">
      <x:c r="F125" s="125"/>
    </x:row>
    <x:row r="126">
      <x:c r="F126" s="125"/>
    </x:row>
    <x:row r="127">
      <x:c r="F127" s="125"/>
    </x:row>
    <x:row r="128">
      <x:c r="F128" s="125"/>
    </x:row>
    <x:row r="129">
      <x:c r="F129" s="125"/>
    </x:row>
    <x:row r="130">
      <x:c r="F130" s="125"/>
    </x:row>
    <x:row r="131">
      <x:c r="F131" s="125"/>
    </x:row>
    <x:row r="132">
      <x:c r="F132" s="125"/>
    </x:row>
    <x:row r="133">
      <x:c r="F133" s="125"/>
    </x:row>
    <x:row r="134">
      <x:c r="F134" s="125"/>
    </x:row>
    <x:row r="135">
      <x:c r="F135" s="125"/>
    </x:row>
    <x:row r="136">
      <x:c r="F136" s="125"/>
    </x:row>
    <x:row r="137">
      <x:c r="F137" s="125"/>
    </x:row>
    <x:row r="138">
      <x:c r="F138" s="125"/>
    </x:row>
    <x:row r="139">
      <x:c r="F139" s="125"/>
    </x:row>
    <x:row r="140">
      <x:c r="F140" s="125"/>
    </x:row>
    <x:row r="141">
      <x:c r="F141" s="125"/>
    </x:row>
    <x:row r="142">
      <x:c r="F142" s="125"/>
    </x:row>
    <x:row r="143">
      <x:c r="F143" s="125"/>
    </x:row>
    <x:row r="144">
      <x:c r="F144" s="125"/>
    </x:row>
    <x:row r="145">
      <x:c r="F145" s="125"/>
    </x:row>
    <x:row r="146">
      <x:c r="F146" s="125"/>
    </x:row>
    <x:row r="147">
      <x:c r="F147" s="125"/>
    </x:row>
    <x:row r="148">
      <x:c r="F148" s="125"/>
    </x:row>
    <x:row r="149">
      <x:c r="F149" s="125"/>
    </x:row>
    <x:row r="150">
      <x:c r="F150" s="125"/>
    </x:row>
    <x:row r="151">
      <x:c r="F151" s="125"/>
    </x:row>
    <x:row r="152">
      <x:c r="F152" s="125"/>
    </x:row>
    <x:row r="153">
      <x:c r="F153" s="125"/>
    </x:row>
    <x:row r="154">
      <x:c r="F154" s="125"/>
    </x:row>
    <x:row r="155">
      <x:c r="F155" s="125"/>
    </x:row>
    <x:row r="156">
      <x:c r="F156" s="125"/>
    </x:row>
    <x:row r="157">
      <x:c r="F157" s="125"/>
    </x:row>
    <x:row r="158">
      <x:c r="F158" s="125"/>
    </x:row>
    <x:row r="159">
      <x:c r="F159" s="125"/>
    </x:row>
    <x:row r="160">
      <x:c r="F160" s="125"/>
    </x:row>
    <x:row r="161">
      <x:c r="F161" s="125"/>
    </x:row>
    <x:row r="162">
      <x:c r="F162" s="125"/>
    </x:row>
    <x:row r="163">
      <x:c r="F163" s="125"/>
    </x:row>
    <x:row r="164">
      <x:c r="F164" s="125"/>
    </x:row>
    <x:row r="165">
      <x:c r="F165" s="125"/>
    </x:row>
    <x:row r="166">
      <x:c r="F166" s="125"/>
    </x:row>
    <x:row r="167">
      <x:c r="F167" s="125"/>
    </x:row>
    <x:row r="168">
      <x:c r="F168" s="125"/>
    </x:row>
    <x:row r="169">
      <x:c r="F169" s="125"/>
    </x:row>
    <x:row r="170">
      <x:c r="F170" s="125"/>
    </x:row>
    <x:row r="171">
      <x:c r="F171" s="125"/>
    </x:row>
    <x:row r="172">
      <x:c r="F172" s="125"/>
    </x:row>
    <x:row r="173">
      <x:c r="F173" s="125"/>
    </x:row>
    <x:row r="174">
      <x:c r="F174" s="125"/>
    </x:row>
    <x:row r="175">
      <x:c r="F175" s="125"/>
    </x:row>
    <x:row r="176">
      <x:c r="F176" s="125"/>
    </x:row>
    <x:row r="177">
      <x:c r="F177" s="125"/>
    </x:row>
    <x:row r="178">
      <x:c r="F178" s="125"/>
    </x:row>
    <x:row r="179">
      <x:c r="F179" s="125"/>
    </x:row>
    <x:row r="180">
      <x:c r="F180" s="125"/>
    </x:row>
    <x:row r="181">
      <x:c r="F181" s="125"/>
    </x:row>
    <x:row r="182">
      <x:c r="F182" s="125"/>
    </x:row>
    <x:row r="183">
      <x:c r="F183" s="125"/>
    </x:row>
    <x:row r="184">
      <x:c r="F184" s="125"/>
    </x:row>
    <x:row r="185">
      <x:c r="F185" s="125"/>
    </x:row>
    <x:row r="186">
      <x:c r="F186" s="125"/>
    </x:row>
    <x:row r="187">
      <x:c r="F187" s="125"/>
    </x:row>
    <x:row r="188">
      <x:c r="F188" s="125"/>
    </x:row>
    <x:row r="189">
      <x:c r="F189" s="125"/>
    </x:row>
    <x:row r="190">
      <x:c r="F190" s="125"/>
    </x:row>
    <x:row r="191">
      <x:c r="F191" s="125"/>
    </x:row>
    <x:row r="192">
      <x:c r="F192" s="125"/>
    </x:row>
    <x:row r="193">
      <x:c r="F193" s="125"/>
    </x:row>
    <x:row r="194">
      <x:c r="F194" s="125"/>
    </x:row>
    <x:row r="195">
      <x:c r="F195" s="125"/>
    </x:row>
    <x:row r="196">
      <x:c r="F196" s="125"/>
    </x:row>
    <x:row r="197">
      <x:c r="F197" s="125"/>
    </x:row>
    <x:row r="198">
      <x:c r="F198" s="125"/>
    </x:row>
    <x:row r="199">
      <x:c r="F199" s="125"/>
    </x:row>
    <x:row r="200">
      <x:c r="F200" s="125"/>
    </x:row>
    <x:row r="201">
      <x:c r="F201" s="125"/>
    </x:row>
    <x:row r="202">
      <x:c r="F202" s="125"/>
    </x:row>
    <x:row r="203">
      <x:c r="F203" s="125"/>
    </x:row>
    <x:row r="204">
      <x:c r="F204" s="125"/>
    </x:row>
    <x:row r="205">
      <x:c r="F205" s="125"/>
    </x:row>
    <x:row r="206">
      <x:c r="F206" s="125"/>
    </x:row>
    <x:row r="207">
      <x:c r="F207" s="125"/>
    </x:row>
    <x:row r="208">
      <x:c r="F208" s="125"/>
    </x:row>
    <x:row r="209">
      <x:c r="F209" s="125"/>
    </x:row>
    <x:row r="210">
      <x:c r="F210" s="125"/>
    </x:row>
    <x:row r="211">
      <x:c r="F211" s="125"/>
    </x:row>
    <x:row r="212">
      <x:c r="F212" s="125"/>
    </x:row>
    <x:row r="213">
      <x:c r="F213" s="125"/>
    </x:row>
    <x:row r="214">
      <x:c r="F214" s="125"/>
    </x:row>
    <x:row r="215">
      <x:c r="F215" s="125"/>
    </x:row>
    <x:row r="216">
      <x:c r="F216" s="125"/>
    </x:row>
    <x:row r="217">
      <x:c r="F217" s="125"/>
    </x:row>
    <x:row r="218">
      <x:c r="F218" s="125"/>
    </x:row>
    <x:row r="219">
      <x:c r="F219" s="125"/>
    </x:row>
    <x:row r="220">
      <x:c r="F220" s="125"/>
    </x:row>
    <x:row r="221">
      <x:c r="F221" s="125"/>
    </x:row>
    <x:row r="222">
      <x:c r="F222" s="125"/>
    </x:row>
    <x:row r="223">
      <x:c r="F223" s="125"/>
    </x:row>
    <x:row r="224">
      <x:c r="F224" s="125"/>
    </x:row>
    <x:row r="225">
      <x:c r="F225" s="125"/>
    </x:row>
    <x:row r="226">
      <x:c r="F226" s="125"/>
    </x:row>
    <x:row r="227">
      <x:c r="F227" s="125"/>
    </x:row>
    <x:row r="228">
      <x:c r="F228" s="125"/>
    </x:row>
    <x:row r="229">
      <x:c r="F229" s="125"/>
    </x:row>
    <x:row r="230">
      <x:c r="F230" s="125"/>
    </x:row>
    <x:row r="231">
      <x:c r="F231" s="125"/>
    </x:row>
    <x:row r="232">
      <x:c r="F232" s="125"/>
    </x:row>
    <x:row r="233">
      <x:c r="F233" s="125"/>
    </x:row>
    <x:row r="234">
      <x:c r="F234" s="125"/>
    </x:row>
    <x:row r="235">
      <x:c r="F235" s="125"/>
    </x:row>
    <x:row r="236">
      <x:c r="F236" s="125"/>
    </x:row>
    <x:row r="237">
      <x:c r="F237" s="125"/>
    </x:row>
    <x:row r="238">
      <x:c r="F238" s="125"/>
    </x:row>
    <x:row r="239">
      <x:c r="F239" s="125"/>
    </x:row>
    <x:row r="240">
      <x:c r="F240" s="125"/>
    </x:row>
    <x:row r="241">
      <x:c r="F241" s="125"/>
    </x:row>
    <x:row r="242">
      <x:c r="F242" s="125"/>
    </x:row>
    <x:row r="243">
      <x:c r="F243" s="125"/>
    </x:row>
    <x:row r="244">
      <x:c r="F244" s="125"/>
    </x:row>
    <x:row r="245">
      <x:c r="F245" s="125"/>
    </x:row>
    <x:row r="246">
      <x:c r="F246" s="125"/>
    </x:row>
    <x:row r="247">
      <x:c r="F247" s="125"/>
    </x:row>
    <x:row r="248">
      <x:c r="F248" s="125"/>
    </x:row>
    <x:row r="249">
      <x:c r="F249" s="125"/>
    </x:row>
    <x:row r="250">
      <x:c r="F250" s="125"/>
    </x:row>
    <x:row r="251">
      <x:c r="F251" s="125"/>
    </x:row>
    <x:row r="252">
      <x:c r="F252" s="125"/>
    </x:row>
    <x:row r="253">
      <x:c r="F253" s="125"/>
    </x:row>
    <x:row r="254">
      <x:c r="F254" s="125"/>
    </x:row>
    <x:row r="255">
      <x:c r="F255" s="125"/>
    </x:row>
    <x:row r="256">
      <x:c r="F256" s="125"/>
    </x:row>
    <x:row r="257">
      <x:c r="F257" s="125"/>
    </x:row>
    <x:row r="258">
      <x:c r="F258" s="125"/>
    </x:row>
    <x:row r="259">
      <x:c r="F259" s="125"/>
    </x:row>
    <x:row r="260">
      <x:c r="F260" s="125"/>
    </x:row>
    <x:row r="261">
      <x:c r="F261" s="125"/>
    </x:row>
    <x:row r="262">
      <x:c r="F262" s="125"/>
    </x:row>
    <x:row r="263">
      <x:c r="F263" s="125"/>
    </x:row>
    <x:row r="264">
      <x:c r="F264" s="125"/>
    </x:row>
    <x:row r="265">
      <x:c r="F265" s="125"/>
    </x:row>
    <x:row r="266">
      <x:c r="F266" s="125"/>
    </x:row>
    <x:row r="267">
      <x:c r="F267" s="125"/>
    </x:row>
    <x:row r="268">
      <x:c r="F268" s="125"/>
    </x:row>
    <x:row r="269">
      <x:c r="F269" s="125"/>
    </x:row>
    <x:row r="270">
      <x:c r="F270" s="125"/>
    </x:row>
    <x:row r="271">
      <x:c r="F271" s="125"/>
    </x:row>
    <x:row r="272">
      <x:c r="F272" s="125"/>
    </x:row>
    <x:row r="273">
      <x:c r="F273" s="125"/>
    </x:row>
    <x:row r="274">
      <x:c r="F274" s="125"/>
    </x:row>
    <x:row r="275">
      <x:c r="F275" s="125"/>
    </x:row>
    <x:row r="276">
      <x:c r="F276" s="125"/>
    </x:row>
    <x:row r="277">
      <x:c r="F277" s="125"/>
    </x:row>
    <x:row r="278">
      <x:c r="F278" s="125"/>
    </x:row>
    <x:row r="279">
      <x:c r="F279" s="125"/>
    </x:row>
    <x:row r="280">
      <x:c r="F280" s="125"/>
    </x:row>
    <x:row r="281">
      <x:c r="F281" s="125"/>
    </x:row>
    <x:row r="282">
      <x:c r="F282" s="125"/>
    </x:row>
    <x:row r="283">
      <x:c r="F283" s="125"/>
    </x:row>
    <x:row r="284">
      <x:c r="F284" s="125"/>
    </x:row>
    <x:row r="285">
      <x:c r="F285" s="125"/>
    </x:row>
    <x:row r="286">
      <x:c r="F286" s="125"/>
    </x:row>
    <x:row r="287">
      <x:c r="F287" s="125"/>
    </x:row>
    <x:row r="288">
      <x:c r="F288" s="125"/>
    </x:row>
    <x:row r="289">
      <x:c r="F289" s="125"/>
    </x:row>
    <x:row r="290">
      <x:c r="F290" s="125"/>
    </x:row>
    <x:row r="291">
      <x:c r="F291" s="125"/>
    </x:row>
    <x:row r="292">
      <x:c r="F292" s="125"/>
    </x:row>
    <x:row r="293">
      <x:c r="F293" s="125"/>
    </x:row>
    <x:row r="294">
      <x:c r="F294" s="125"/>
    </x:row>
    <x:row r="295">
      <x:c r="F295" s="125"/>
    </x:row>
    <x:row r="296">
      <x:c r="F296" s="125"/>
    </x:row>
    <x:row r="297">
      <x:c r="F297" s="125"/>
    </x:row>
    <x:row r="298">
      <x:c r="F298" s="125"/>
    </x:row>
    <x:row r="299">
      <x:c r="F299" s="125"/>
    </x:row>
    <x:row r="300">
      <x:c r="F300" s="125"/>
    </x:row>
    <x:row r="301">
      <x:c r="F301" s="125"/>
    </x:row>
    <x:row r="302">
      <x:c r="F302" s="125"/>
    </x:row>
    <x:row r="303">
      <x:c r="F303" s="125"/>
    </x:row>
    <x:row r="304">
      <x:c r="F304" s="125"/>
    </x:row>
    <x:row r="305">
      <x:c r="F305" s="125"/>
    </x:row>
    <x:row r="306">
      <x:c r="F306" s="125"/>
    </x:row>
    <x:row r="307">
      <x:c r="F307" s="125"/>
    </x:row>
    <x:row r="308">
      <x:c r="F308" s="125"/>
    </x:row>
    <x:row r="309">
      <x:c r="F309" s="125"/>
    </x:row>
    <x:row r="310">
      <x:c r="F310" s="125"/>
    </x:row>
    <x:row r="311">
      <x:c r="F311" s="125"/>
    </x:row>
    <x:row r="312">
      <x:c r="F312" s="125"/>
    </x:row>
    <x:row r="313">
      <x:c r="F313" s="125"/>
    </x:row>
    <x:row r="314">
      <x:c r="F314" s="125"/>
    </x:row>
    <x:row r="315">
      <x:c r="F315" s="125"/>
    </x:row>
    <x:row r="316">
      <x:c r="F316" s="125"/>
    </x:row>
    <x:row r="317">
      <x:c r="F317" s="125"/>
    </x:row>
    <x:row r="318">
      <x:c r="F318" s="125"/>
    </x:row>
    <x:row r="319">
      <x:c r="F319" s="125"/>
    </x:row>
    <x:row r="320">
      <x:c r="F320" s="125"/>
    </x:row>
    <x:row r="321">
      <x:c r="F321" s="125"/>
    </x:row>
    <x:row r="322">
      <x:c r="F322" s="125"/>
    </x:row>
    <x:row r="323">
      <x:c r="F323" s="125"/>
    </x:row>
    <x:row r="324">
      <x:c r="F324" s="125"/>
    </x:row>
    <x:row r="325">
      <x:c r="F325" s="125"/>
    </x:row>
    <x:row r="326">
      <x:c r="F326" s="125"/>
    </x:row>
    <x:row r="327">
      <x:c r="F327" s="125"/>
    </x:row>
    <x:row r="328">
      <x:c r="F328" s="125"/>
    </x:row>
    <x:row r="329">
      <x:c r="F329" s="125"/>
    </x:row>
    <x:row r="330">
      <x:c r="F330" s="125"/>
    </x:row>
    <x:row r="331">
      <x:c r="F331" s="125"/>
    </x:row>
    <x:row r="332">
      <x:c r="F332" s="125"/>
    </x:row>
    <x:row r="333">
      <x:c r="F333" s="125"/>
    </x:row>
    <x:row r="334">
      <x:c r="F334" s="125"/>
    </x:row>
    <x:row r="335">
      <x:c r="F335" s="125"/>
    </x:row>
    <x:row r="336">
      <x:c r="F336" s="125"/>
    </x:row>
    <x:row r="337">
      <x:c r="F337" s="125"/>
    </x:row>
    <x:row r="338">
      <x:c r="F338" s="125"/>
    </x:row>
    <x:row r="339">
      <x:c r="F339" s="125"/>
    </x:row>
    <x:row r="340">
      <x:c r="F340" s="125"/>
    </x:row>
    <x:row r="341">
      <x:c r="F341" s="125"/>
    </x:row>
    <x:row r="342">
      <x:c r="F342" s="125"/>
    </x:row>
    <x:row r="343">
      <x:c r="F343" s="125"/>
    </x:row>
    <x:row r="344">
      <x:c r="F344" s="125"/>
    </x:row>
    <x:row r="345">
      <x:c r="F345" s="125"/>
    </x:row>
    <x:row r="346">
      <x:c r="F346" s="125"/>
    </x:row>
    <x:row r="347">
      <x:c r="F347" s="125"/>
    </x:row>
    <x:row r="348">
      <x:c r="F348" s="125"/>
    </x:row>
    <x:row r="349">
      <x:c r="F349" s="125"/>
    </x:row>
    <x:row r="350">
      <x:c r="F350" s="125"/>
    </x:row>
    <x:row r="351">
      <x:c r="F351" s="125"/>
    </x:row>
    <x:row r="352">
      <x:c r="F352" s="125"/>
    </x:row>
    <x:row r="353">
      <x:c r="F353" s="125"/>
    </x:row>
    <x:row r="354">
      <x:c r="F354" s="125"/>
    </x:row>
    <x:row r="355">
      <x:c r="F355" s="125"/>
    </x:row>
    <x:row r="356">
      <x:c r="F356" s="125"/>
    </x:row>
    <x:row r="357">
      <x:c r="F357" s="125"/>
    </x:row>
    <x:row r="358">
      <x:c r="F358" s="125"/>
    </x:row>
    <x:row r="359">
      <x:c r="F359" s="125"/>
    </x:row>
    <x:row r="360">
      <x:c r="F360" s="125"/>
    </x:row>
    <x:row r="361">
      <x:c r="F361" s="125"/>
    </x:row>
    <x:row r="362">
      <x:c r="F362" s="125"/>
    </x:row>
    <x:row r="363">
      <x:c r="F363" s="125"/>
    </x:row>
    <x:row r="364">
      <x:c r="F364" s="125"/>
    </x:row>
    <x:row r="365">
      <x:c r="F365" s="125"/>
    </x:row>
    <x:row r="366">
      <x:c r="F366" s="125"/>
    </x:row>
    <x:row r="367">
      <x:c r="F367" s="125"/>
    </x:row>
    <x:row r="368">
      <x:c r="F368" s="125"/>
    </x:row>
    <x:row r="369">
      <x:c r="F369" s="125"/>
    </x:row>
    <x:row r="370">
      <x:c r="F370" s="125"/>
    </x:row>
    <x:row r="371">
      <x:c r="F371" s="125"/>
    </x:row>
    <x:row r="372">
      <x:c r="F372" s="125"/>
    </x:row>
    <x:row r="373">
      <x:c r="F373" s="125"/>
    </x:row>
    <x:row r="374">
      <x:c r="F374" s="125"/>
    </x:row>
    <x:row r="375">
      <x:c r="F375" s="125"/>
    </x:row>
    <x:row r="376">
      <x:c r="F376" s="125"/>
    </x:row>
    <x:row r="377">
      <x:c r="F377" s="125"/>
    </x:row>
    <x:row r="378">
      <x:c r="F378" s="125"/>
    </x:row>
    <x:row r="379">
      <x:c r="F379" s="125"/>
    </x:row>
    <x:row r="380">
      <x:c r="F380" s="125"/>
    </x:row>
    <x:row r="381">
      <x:c r="F381" s="125"/>
    </x:row>
    <x:row r="382">
      <x:c r="F382" s="125"/>
    </x:row>
    <x:row r="383">
      <x:c r="F383" s="125"/>
    </x:row>
    <x:row r="384">
      <x:c r="F384" s="125"/>
    </x:row>
    <x:row r="385">
      <x:c r="F385" s="125"/>
    </x:row>
    <x:row r="386">
      <x:c r="F386" s="125"/>
    </x:row>
    <x:row r="387">
      <x:c r="F387" s="125"/>
    </x:row>
    <x:row r="388">
      <x:c r="F388" s="125"/>
    </x:row>
    <x:row r="389">
      <x:c r="F389" s="125"/>
    </x:row>
    <x:row r="390">
      <x:c r="F390" s="125"/>
    </x:row>
    <x:row r="391">
      <x:c r="F391" s="125"/>
    </x:row>
    <x:row r="392">
      <x:c r="F392" s="125"/>
    </x:row>
    <x:row r="393">
      <x:c r="F393" s="125"/>
    </x:row>
    <x:row r="394">
      <x:c r="F394" s="125"/>
    </x:row>
    <x:row r="395">
      <x:c r="F395" s="125"/>
    </x:row>
    <x:row r="396">
      <x:c r="F396" s="125"/>
    </x:row>
    <x:row r="397">
      <x:c r="F397" s="125"/>
    </x:row>
    <x:row r="398">
      <x:c r="F398" s="125"/>
    </x:row>
    <x:row r="399">
      <x:c r="F399" s="125"/>
    </x:row>
    <x:row r="400">
      <x:c r="F400" s="125"/>
    </x:row>
    <x:row r="401">
      <x:c r="F401" s="125"/>
    </x:row>
    <x:row r="402">
      <x:c r="F402" s="125"/>
    </x:row>
    <x:row r="403">
      <x:c r="F403" s="125"/>
    </x:row>
    <x:row r="404">
      <x:c r="F404" s="125"/>
    </x:row>
    <x:row r="405">
      <x:c r="F405" s="125"/>
    </x:row>
    <x:row r="406">
      <x:c r="F406" s="125"/>
    </x:row>
    <x:row r="407">
      <x:c r="F407" s="125"/>
    </x:row>
    <x:row r="408">
      <x:c r="F408" s="125"/>
    </x:row>
    <x:row r="409">
      <x:c r="F409" s="125"/>
    </x:row>
    <x:row r="410">
      <x:c r="F410" s="125"/>
    </x:row>
    <x:row r="411">
      <x:c r="F411" s="125"/>
    </x:row>
    <x:row r="412">
      <x:c r="F412" s="125"/>
    </x:row>
    <x:row r="413">
      <x:c r="F413" s="125"/>
    </x:row>
    <x:row r="414">
      <x:c r="F414" s="125"/>
    </x:row>
    <x:row r="415">
      <x:c r="F415" s="125"/>
    </x:row>
    <x:row r="416">
      <x:c r="F416" s="125"/>
    </x:row>
    <x:row r="417">
      <x:c r="F417" s="125"/>
    </x:row>
    <x:row r="418">
      <x:c r="F418" s="125"/>
    </x:row>
    <x:row r="419">
      <x:c r="F419" s="125"/>
    </x:row>
    <x:row r="420">
      <x:c r="F420" s="125"/>
    </x:row>
    <x:row r="421">
      <x:c r="F421" s="125"/>
    </x:row>
    <x:row r="422">
      <x:c r="F422" s="125"/>
    </x:row>
    <x:row r="423">
      <x:c r="F423" s="125"/>
    </x:row>
    <x:row r="424">
      <x:c r="F424" s="125"/>
    </x:row>
    <x:row r="425">
      <x:c r="F425" s="125"/>
    </x:row>
    <x:row r="426">
      <x:c r="F426" s="125"/>
    </x:row>
    <x:row r="427">
      <x:c r="F427" s="125"/>
    </x:row>
    <x:row r="428">
      <x:c r="F428" s="125"/>
    </x:row>
    <x:row r="429">
      <x:c r="F429" s="125"/>
    </x:row>
    <x:row r="430">
      <x:c r="F430" s="125"/>
    </x:row>
    <x:row r="431">
      <x:c r="F431" s="125"/>
    </x:row>
    <x:row r="432">
      <x:c r="F432" s="125"/>
    </x:row>
    <x:row r="433">
      <x:c r="F433" s="125"/>
    </x:row>
    <x:row r="434">
      <x:c r="F434" s="125"/>
    </x:row>
    <x:row r="435">
      <x:c r="F435" s="125"/>
    </x:row>
    <x:row r="436">
      <x:c r="F436" s="125"/>
    </x:row>
    <x:row r="437">
      <x:c r="F437" s="125"/>
    </x:row>
    <x:row r="438">
      <x:c r="F438" s="125"/>
    </x:row>
    <x:row r="439">
      <x:c r="F439" s="125"/>
    </x:row>
    <x:row r="440">
      <x:c r="F440" s="125"/>
    </x:row>
    <x:row r="441">
      <x:c r="F441" s="125"/>
    </x:row>
    <x:row r="442">
      <x:c r="F442" s="125"/>
    </x:row>
    <x:row r="443">
      <x:c r="F443" s="125"/>
    </x:row>
    <x:row r="444">
      <x:c r="F444" s="125"/>
    </x:row>
    <x:row r="445">
      <x:c r="F445" s="125"/>
    </x:row>
    <x:row r="446">
      <x:c r="F446" s="125"/>
    </x:row>
    <x:row r="447">
      <x:c r="F447" s="125"/>
    </x:row>
    <x:row r="448">
      <x:c r="F448" s="125"/>
    </x:row>
    <x:row r="449">
      <x:c r="F449" s="125"/>
    </x:row>
    <x:row r="450">
      <x:c r="F450" s="125"/>
    </x:row>
    <x:row r="451">
      <x:c r="F451" s="125"/>
    </x:row>
    <x:row r="452">
      <x:c r="F452" s="125"/>
    </x:row>
    <x:row r="453">
      <x:c r="F453" s="125"/>
    </x:row>
    <x:row r="454">
      <x:c r="F454" s="125"/>
    </x:row>
    <x:row r="455">
      <x:c r="F455" s="125"/>
    </x:row>
    <x:row r="456">
      <x:c r="F456" s="125"/>
    </x:row>
    <x:row r="457">
      <x:c r="F457" s="125"/>
    </x:row>
    <x:row r="458">
      <x:c r="F458" s="125"/>
    </x:row>
    <x:row r="459">
      <x:c r="F459" s="125"/>
    </x:row>
    <x:row r="460">
      <x:c r="F460" s="125"/>
    </x:row>
    <x:row r="461">
      <x:c r="F461" s="125"/>
    </x:row>
    <x:row r="462">
      <x:c r="F462" s="125"/>
    </x:row>
    <x:row r="463">
      <x:c r="F463" s="125"/>
    </x:row>
    <x:row r="464">
      <x:c r="F464" s="125"/>
    </x:row>
    <x:row r="465">
      <x:c r="F465" s="125"/>
    </x:row>
    <x:row r="466">
      <x:c r="F466" s="125"/>
    </x:row>
    <x:row r="467">
      <x:c r="F467" s="125"/>
    </x:row>
    <x:row r="468">
      <x:c r="F468" s="125"/>
    </x:row>
    <x:row r="469">
      <x:c r="F469" s="125"/>
    </x:row>
    <x:row r="470">
      <x:c r="F470" s="125"/>
    </x:row>
    <x:row r="471">
      <x:c r="F471" s="125"/>
    </x:row>
    <x:row r="472">
      <x:c r="F472" s="125"/>
    </x:row>
    <x:row r="473">
      <x:c r="F473" s="125"/>
    </x:row>
    <x:row r="474">
      <x:c r="F474" s="125"/>
    </x:row>
    <x:row r="475">
      <x:c r="F475" s="125"/>
    </x:row>
    <x:row r="476">
      <x:c r="F476" s="125"/>
    </x:row>
    <x:row r="477">
      <x:c r="F477" s="125"/>
    </x:row>
    <x:row r="478">
      <x:c r="F478" s="125"/>
    </x:row>
    <x:row r="479">
      <x:c r="F479" s="125"/>
    </x:row>
    <x:row r="480">
      <x:c r="F480" s="125"/>
    </x:row>
    <x:row r="481">
      <x:c r="F481" s="125"/>
    </x:row>
    <x:row r="482">
      <x:c r="F482" s="125"/>
    </x:row>
    <x:row r="483">
      <x:c r="F483" s="125"/>
    </x:row>
    <x:row r="484">
      <x:c r="F484" s="125"/>
    </x:row>
    <x:row r="485">
      <x:c r="F485" s="125"/>
    </x:row>
    <x:row r="486">
      <x:c r="F486" s="125"/>
    </x:row>
    <x:row r="487">
      <x:c r="F487" s="125"/>
    </x:row>
    <x:row r="488">
      <x:c r="F488" s="125"/>
    </x:row>
    <x:row r="489">
      <x:c r="F489" s="125"/>
    </x:row>
    <x:row r="490">
      <x:c r="F490" s="125"/>
    </x:row>
    <x:row r="491">
      <x:c r="F491" s="125"/>
    </x:row>
    <x:row r="492">
      <x:c r="F492" s="125"/>
    </x:row>
    <x:row r="493">
      <x:c r="F493" s="125"/>
    </x:row>
    <x:row r="494">
      <x:c r="F494" s="125"/>
    </x:row>
    <x:row r="495">
      <x:c r="F495" s="125"/>
    </x:row>
    <x:row r="496">
      <x:c r="F496" s="125"/>
    </x:row>
    <x:row r="497">
      <x:c r="F497" s="125"/>
    </x:row>
    <x:row r="498">
      <x:c r="F498" s="125"/>
    </x:row>
    <x:row r="499">
      <x:c r="F499" s="125"/>
    </x:row>
    <x:row r="500">
      <x:c r="F500" s="125"/>
    </x:row>
  </x:sheetData>
  <x:mergeCells>
    <x:mergeCell ref="A1:J1"/>
  </x:mergeCells>
  <x:dataValidations count="3">
    <x:dataValidation type="list" sqref="E4:E500">
      <x:formula1>"Semeadura,Condução,Colheita"</x:formula1>
    </x:dataValidation>
    <x:dataValidation type="list" sqref="H4:H500">
      <x:formula1>"Normal,Alta,Crítica"</x:formula1>
    </x:dataValidation>
    <x:dataValidation type="list" sqref="I4:I500">
      <x:formula1>"Planejado,Concluído,Atrasado,Cancelado"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0" hidden="0" customWidth="1"/>
    <x:col min="7" max="7" width="20" hidden="0" customWidth="1"/>
    <x:col min="8" max="8" width="28" hidden="0" customWidth="1"/>
    <x:col min="9" max="9" width="22" hidden="0" customWidth="1"/>
    <x:col min="10" max="10" width="38" hidden="0" customWidth="1"/>
  </x:cols>
  <x:sheetData>
    <x:row r="1" ht="30" customHeight="1">
      <x:c r="A1" s="112" t="str">
        <x:v>Planejamento e registros de campo</x:v>
      </x:c>
    </x:row>
    <x:row r="3" ht="27" customHeight="1">
      <x:c r="A3" s="116" t="str">
        <x:v>atividade_id</x:v>
      </x:c>
      <x:c r="B3" s="117" t="str">
        <x:v>localidade_id</x:v>
      </x:c>
      <x:c r="C3" s="117" t="str">
        <x:v>etapa</x:v>
      </x:c>
      <x:c r="D3" s="117" t="str">
        <x:v>data</x:v>
      </x:c>
      <x:c r="E3" s="117" t="str">
        <x:v>status</x:v>
      </x:c>
      <x:c r="F3" s="117" t="str">
        <x:v>visita</x:v>
      </x:c>
      <x:c r="G3" s="117" t="str">
        <x:v>pressao_daninhas</x:v>
      </x:c>
      <x:c r="H3" s="117" t="str">
        <x:v>acao_corretiva</x:v>
      </x:c>
      <x:c r="I3" s="117" t="str">
        <x:v>resultado_revisita</x:v>
      </x:c>
      <x:c r="J3" s="118" t="str">
        <x:v>observacoes</x:v>
      </x:c>
    </x:row>
    <x:row r="4" ht="24" customHeight="1">
      <x:c r="A4" s="120" t="str">
        <x:v>ATV001</x:v>
      </x:c>
      <x:c r="B4" s="120" t="str">
        <x:v>LOC001</x:v>
      </x:c>
      <x:c r="C4" s="120" t="str">
        <x:v>Condução</x:v>
      </x:c>
      <x:c r="D4" s="124" t="n">
        <x:v>46254</x:v>
      </x:c>
      <x:c r="E4" s="120" t="str">
        <x:v>Concluído</x:v>
      </x:c>
      <x:c r="F4" s="120" t="n">
        <x:v>1</x:v>
      </x:c>
      <x:c r="G4" s="120" t="n">
        <x:v>3</x:v>
      </x:c>
      <x:c r="H4" s="120" t="str">
        <x:v>Aplicação conforme protocolo</x:v>
      </x:c>
      <x:c r="I4" s="120" t="str">
        <x:v>Pendente</x:v>
      </x:c>
      <x:c r="J4" s="120" t="str">
        <x:v>Exemplo de alerta para visita seguinte</x:v>
      </x:c>
    </x:row>
    <x:row r="5">
      <x:c r="D5" s="125"/>
    </x:row>
    <x:row r="6">
      <x:c r="D6" s="125"/>
    </x:row>
    <x:row r="7">
      <x:c r="D7" s="125"/>
    </x:row>
    <x:row r="8">
      <x:c r="D8" s="125"/>
    </x:row>
    <x:row r="9">
      <x:c r="D9" s="125"/>
    </x:row>
    <x:row r="10">
      <x:c r="D10" s="125"/>
    </x:row>
    <x:row r="11">
      <x:c r="D11" s="125"/>
    </x:row>
    <x:row r="12">
      <x:c r="D12" s="125"/>
    </x:row>
    <x:row r="13">
      <x:c r="D13" s="125"/>
    </x:row>
    <x:row r="14">
      <x:c r="D14" s="125"/>
    </x:row>
    <x:row r="15">
      <x:c r="D15" s="125"/>
    </x:row>
    <x:row r="16">
      <x:c r="D16" s="125"/>
    </x:row>
    <x:row r="17">
      <x:c r="D17" s="125"/>
    </x:row>
    <x:row r="18">
      <x:c r="D18" s="125"/>
    </x:row>
    <x:row r="19">
      <x:c r="D19" s="125"/>
    </x:row>
    <x:row r="20">
      <x:c r="D20" s="125"/>
    </x:row>
    <x:row r="21">
      <x:c r="D21" s="125"/>
    </x:row>
    <x:row r="22">
      <x:c r="D22" s="125"/>
    </x:row>
    <x:row r="23">
      <x:c r="D23" s="125"/>
    </x:row>
    <x:row r="24">
      <x:c r="D24" s="125"/>
    </x:row>
    <x:row r="25">
      <x:c r="D25" s="125"/>
    </x:row>
    <x:row r="26">
      <x:c r="D26" s="125"/>
    </x:row>
    <x:row r="27">
      <x:c r="D27" s="125"/>
    </x:row>
    <x:row r="28">
      <x:c r="D28" s="125"/>
    </x:row>
    <x:row r="29">
      <x:c r="D29" s="125"/>
    </x:row>
    <x:row r="30">
      <x:c r="D30" s="125"/>
    </x:row>
    <x:row r="31">
      <x:c r="D31" s="125"/>
    </x:row>
    <x:row r="32">
      <x:c r="D32" s="125"/>
    </x:row>
    <x:row r="33">
      <x:c r="D33" s="125"/>
    </x:row>
    <x:row r="34">
      <x:c r="D34" s="125"/>
    </x:row>
    <x:row r="35">
      <x:c r="D35" s="125"/>
    </x:row>
    <x:row r="36">
      <x:c r="D36" s="125"/>
    </x:row>
    <x:row r="37">
      <x:c r="D37" s="125"/>
    </x:row>
    <x:row r="38">
      <x:c r="D38" s="125"/>
    </x:row>
    <x:row r="39">
      <x:c r="D39" s="125"/>
    </x:row>
    <x:row r="40">
      <x:c r="D40" s="125"/>
    </x:row>
    <x:row r="41">
      <x:c r="D41" s="125"/>
    </x:row>
    <x:row r="42">
      <x:c r="D42" s="125"/>
    </x:row>
    <x:row r="43">
      <x:c r="D43" s="125"/>
    </x:row>
    <x:row r="44">
      <x:c r="D44" s="125"/>
    </x:row>
    <x:row r="45">
      <x:c r="D45" s="125"/>
    </x:row>
    <x:row r="46">
      <x:c r="D46" s="125"/>
    </x:row>
    <x:row r="47">
      <x:c r="D47" s="125"/>
    </x:row>
    <x:row r="48">
      <x:c r="D48" s="125"/>
    </x:row>
    <x:row r="49">
      <x:c r="D49" s="125"/>
    </x:row>
    <x:row r="50">
      <x:c r="D50" s="125"/>
    </x:row>
    <x:row r="51">
      <x:c r="D51" s="125"/>
    </x:row>
    <x:row r="52">
      <x:c r="D52" s="125"/>
    </x:row>
    <x:row r="53">
      <x:c r="D53" s="125"/>
    </x:row>
    <x:row r="54">
      <x:c r="D54" s="125"/>
    </x:row>
    <x:row r="55">
      <x:c r="D55" s="125"/>
    </x:row>
    <x:row r="56">
      <x:c r="D56" s="125"/>
    </x:row>
    <x:row r="57">
      <x:c r="D57" s="125"/>
    </x:row>
    <x:row r="58">
      <x:c r="D58" s="125"/>
    </x:row>
    <x:row r="59">
      <x:c r="D59" s="125"/>
    </x:row>
    <x:row r="60">
      <x:c r="D60" s="125"/>
    </x:row>
    <x:row r="61">
      <x:c r="D61" s="125"/>
    </x:row>
    <x:row r="62">
      <x:c r="D62" s="125"/>
    </x:row>
    <x:row r="63">
      <x:c r="D63" s="125"/>
    </x:row>
    <x:row r="64">
      <x:c r="D64" s="125"/>
    </x:row>
    <x:row r="65">
      <x:c r="D65" s="125"/>
    </x:row>
    <x:row r="66">
      <x:c r="D66" s="125"/>
    </x:row>
    <x:row r="67">
      <x:c r="D67" s="125"/>
    </x:row>
    <x:row r="68">
      <x:c r="D68" s="125"/>
    </x:row>
    <x:row r="69">
      <x:c r="D69" s="125"/>
    </x:row>
    <x:row r="70">
      <x:c r="D70" s="125"/>
    </x:row>
    <x:row r="71">
      <x:c r="D71" s="125"/>
    </x:row>
    <x:row r="72">
      <x:c r="D72" s="125"/>
    </x:row>
    <x:row r="73">
      <x:c r="D73" s="125"/>
    </x:row>
    <x:row r="74">
      <x:c r="D74" s="125"/>
    </x:row>
    <x:row r="75">
      <x:c r="D75" s="125"/>
    </x:row>
    <x:row r="76">
      <x:c r="D76" s="125"/>
    </x:row>
    <x:row r="77">
      <x:c r="D77" s="125"/>
    </x:row>
    <x:row r="78">
      <x:c r="D78" s="125"/>
    </x:row>
    <x:row r="79">
      <x:c r="D79" s="125"/>
    </x:row>
    <x:row r="80">
      <x:c r="D80" s="125"/>
    </x:row>
    <x:row r="81">
      <x:c r="D81" s="125"/>
    </x:row>
    <x:row r="82">
      <x:c r="D82" s="125"/>
    </x:row>
    <x:row r="83">
      <x:c r="D83" s="125"/>
    </x:row>
    <x:row r="84">
      <x:c r="D84" s="125"/>
    </x:row>
    <x:row r="85">
      <x:c r="D85" s="125"/>
    </x:row>
    <x:row r="86">
      <x:c r="D86" s="125"/>
    </x:row>
    <x:row r="87">
      <x:c r="D87" s="125"/>
    </x:row>
    <x:row r="88">
      <x:c r="D88" s="125"/>
    </x:row>
    <x:row r="89">
      <x:c r="D89" s="125"/>
    </x:row>
    <x:row r="90">
      <x:c r="D90" s="125"/>
    </x:row>
    <x:row r="91">
      <x:c r="D91" s="125"/>
    </x:row>
    <x:row r="92">
      <x:c r="D92" s="125"/>
    </x:row>
    <x:row r="93">
      <x:c r="D93" s="125"/>
    </x:row>
    <x:row r="94">
      <x:c r="D94" s="125"/>
    </x:row>
    <x:row r="95">
      <x:c r="D95" s="125"/>
    </x:row>
    <x:row r="96">
      <x:c r="D96" s="125"/>
    </x:row>
    <x:row r="97">
      <x:c r="D97" s="125"/>
    </x:row>
    <x:row r="98">
      <x:c r="D98" s="125"/>
    </x:row>
    <x:row r="99">
      <x:c r="D99" s="125"/>
    </x:row>
    <x:row r="100">
      <x:c r="D100" s="125"/>
    </x:row>
    <x:row r="101">
      <x:c r="D101" s="125"/>
    </x:row>
    <x:row r="102">
      <x:c r="D102" s="125"/>
    </x:row>
    <x:row r="103">
      <x:c r="D103" s="125"/>
    </x:row>
    <x:row r="104">
      <x:c r="D104" s="125"/>
    </x:row>
    <x:row r="105">
      <x:c r="D105" s="125"/>
    </x:row>
    <x:row r="106">
      <x:c r="D106" s="125"/>
    </x:row>
    <x:row r="107">
      <x:c r="D107" s="125"/>
    </x:row>
    <x:row r="108">
      <x:c r="D108" s="125"/>
    </x:row>
    <x:row r="109">
      <x:c r="D109" s="125"/>
    </x:row>
    <x:row r="110">
      <x:c r="D110" s="125"/>
    </x:row>
    <x:row r="111">
      <x:c r="D111" s="125"/>
    </x:row>
    <x:row r="112">
      <x:c r="D112" s="125"/>
    </x:row>
    <x:row r="113">
      <x:c r="D113" s="125"/>
    </x:row>
    <x:row r="114">
      <x:c r="D114" s="125"/>
    </x:row>
    <x:row r="115">
      <x:c r="D115" s="125"/>
    </x:row>
    <x:row r="116">
      <x:c r="D116" s="125"/>
    </x:row>
    <x:row r="117">
      <x:c r="D117" s="125"/>
    </x:row>
    <x:row r="118">
      <x:c r="D118" s="125"/>
    </x:row>
    <x:row r="119">
      <x:c r="D119" s="125"/>
    </x:row>
    <x:row r="120">
      <x:c r="D120" s="125"/>
    </x:row>
    <x:row r="121">
      <x:c r="D121" s="125"/>
    </x:row>
    <x:row r="122">
      <x:c r="D122" s="125"/>
    </x:row>
    <x:row r="123">
      <x:c r="D123" s="125"/>
    </x:row>
    <x:row r="124">
      <x:c r="D124" s="125"/>
    </x:row>
    <x:row r="125">
      <x:c r="D125" s="125"/>
    </x:row>
    <x:row r="126">
      <x:c r="D126" s="125"/>
    </x:row>
    <x:row r="127">
      <x:c r="D127" s="125"/>
    </x:row>
    <x:row r="128">
      <x:c r="D128" s="125"/>
    </x:row>
    <x:row r="129">
      <x:c r="D129" s="125"/>
    </x:row>
    <x:row r="130">
      <x:c r="D130" s="125"/>
    </x:row>
    <x:row r="131">
      <x:c r="D131" s="125"/>
    </x:row>
    <x:row r="132">
      <x:c r="D132" s="125"/>
    </x:row>
    <x:row r="133">
      <x:c r="D133" s="125"/>
    </x:row>
    <x:row r="134">
      <x:c r="D134" s="125"/>
    </x:row>
    <x:row r="135">
      <x:c r="D135" s="125"/>
    </x:row>
    <x:row r="136">
      <x:c r="D136" s="125"/>
    </x:row>
    <x:row r="137">
      <x:c r="D137" s="125"/>
    </x:row>
    <x:row r="138">
      <x:c r="D138" s="125"/>
    </x:row>
    <x:row r="139">
      <x:c r="D139" s="125"/>
    </x:row>
    <x:row r="140">
      <x:c r="D140" s="125"/>
    </x:row>
    <x:row r="141">
      <x:c r="D141" s="125"/>
    </x:row>
    <x:row r="142">
      <x:c r="D142" s="125"/>
    </x:row>
    <x:row r="143">
      <x:c r="D143" s="125"/>
    </x:row>
    <x:row r="144">
      <x:c r="D144" s="125"/>
    </x:row>
    <x:row r="145">
      <x:c r="D145" s="125"/>
    </x:row>
    <x:row r="146">
      <x:c r="D146" s="125"/>
    </x:row>
    <x:row r="147">
      <x:c r="D147" s="125"/>
    </x:row>
    <x:row r="148">
      <x:c r="D148" s="125"/>
    </x:row>
    <x:row r="149">
      <x:c r="D149" s="125"/>
    </x:row>
    <x:row r="150">
      <x:c r="D150" s="125"/>
    </x:row>
    <x:row r="151">
      <x:c r="D151" s="125"/>
    </x:row>
    <x:row r="152">
      <x:c r="D152" s="125"/>
    </x:row>
    <x:row r="153">
      <x:c r="D153" s="125"/>
    </x:row>
    <x:row r="154">
      <x:c r="D154" s="125"/>
    </x:row>
    <x:row r="155">
      <x:c r="D155" s="125"/>
    </x:row>
    <x:row r="156">
      <x:c r="D156" s="125"/>
    </x:row>
    <x:row r="157">
      <x:c r="D157" s="125"/>
    </x:row>
    <x:row r="158">
      <x:c r="D158" s="125"/>
    </x:row>
    <x:row r="159">
      <x:c r="D159" s="125"/>
    </x:row>
    <x:row r="160">
      <x:c r="D160" s="125"/>
    </x:row>
    <x:row r="161">
      <x:c r="D161" s="125"/>
    </x:row>
    <x:row r="162">
      <x:c r="D162" s="125"/>
    </x:row>
    <x:row r="163">
      <x:c r="D163" s="125"/>
    </x:row>
    <x:row r="164">
      <x:c r="D164" s="125"/>
    </x:row>
    <x:row r="165">
      <x:c r="D165" s="125"/>
    </x:row>
    <x:row r="166">
      <x:c r="D166" s="125"/>
    </x:row>
    <x:row r="167">
      <x:c r="D167" s="125"/>
    </x:row>
    <x:row r="168">
      <x:c r="D168" s="125"/>
    </x:row>
    <x:row r="169">
      <x:c r="D169" s="125"/>
    </x:row>
    <x:row r="170">
      <x:c r="D170" s="125"/>
    </x:row>
    <x:row r="171">
      <x:c r="D171" s="125"/>
    </x:row>
    <x:row r="172">
      <x:c r="D172" s="125"/>
    </x:row>
    <x:row r="173">
      <x:c r="D173" s="125"/>
    </x:row>
    <x:row r="174">
      <x:c r="D174" s="125"/>
    </x:row>
    <x:row r="175">
      <x:c r="D175" s="125"/>
    </x:row>
    <x:row r="176">
      <x:c r="D176" s="125"/>
    </x:row>
    <x:row r="177">
      <x:c r="D177" s="125"/>
    </x:row>
    <x:row r="178">
      <x:c r="D178" s="125"/>
    </x:row>
    <x:row r="179">
      <x:c r="D179" s="125"/>
    </x:row>
    <x:row r="180">
      <x:c r="D180" s="125"/>
    </x:row>
    <x:row r="181">
      <x:c r="D181" s="125"/>
    </x:row>
    <x:row r="182">
      <x:c r="D182" s="125"/>
    </x:row>
    <x:row r="183">
      <x:c r="D183" s="125"/>
    </x:row>
    <x:row r="184">
      <x:c r="D184" s="125"/>
    </x:row>
    <x:row r="185">
      <x:c r="D185" s="125"/>
    </x:row>
    <x:row r="186">
      <x:c r="D186" s="125"/>
    </x:row>
    <x:row r="187">
      <x:c r="D187" s="125"/>
    </x:row>
    <x:row r="188">
      <x:c r="D188" s="125"/>
    </x:row>
    <x:row r="189">
      <x:c r="D189" s="125"/>
    </x:row>
    <x:row r="190">
      <x:c r="D190" s="125"/>
    </x:row>
    <x:row r="191">
      <x:c r="D191" s="125"/>
    </x:row>
    <x:row r="192">
      <x:c r="D192" s="125"/>
    </x:row>
    <x:row r="193">
      <x:c r="D193" s="125"/>
    </x:row>
    <x:row r="194">
      <x:c r="D194" s="125"/>
    </x:row>
    <x:row r="195">
      <x:c r="D195" s="125"/>
    </x:row>
    <x:row r="196">
      <x:c r="D196" s="125"/>
    </x:row>
    <x:row r="197">
      <x:c r="D197" s="125"/>
    </x:row>
    <x:row r="198">
      <x:c r="D198" s="125"/>
    </x:row>
    <x:row r="199">
      <x:c r="D199" s="125"/>
    </x:row>
    <x:row r="200">
      <x:c r="D200" s="125"/>
    </x:row>
    <x:row r="201">
      <x:c r="D201" s="125"/>
    </x:row>
    <x:row r="202">
      <x:c r="D202" s="125"/>
    </x:row>
    <x:row r="203">
      <x:c r="D203" s="125"/>
    </x:row>
    <x:row r="204">
      <x:c r="D204" s="125"/>
    </x:row>
    <x:row r="205">
      <x:c r="D205" s="125"/>
    </x:row>
    <x:row r="206">
      <x:c r="D206" s="125"/>
    </x:row>
    <x:row r="207">
      <x:c r="D207" s="125"/>
    </x:row>
    <x:row r="208">
      <x:c r="D208" s="125"/>
    </x:row>
    <x:row r="209">
      <x:c r="D209" s="125"/>
    </x:row>
    <x:row r="210">
      <x:c r="D210" s="125"/>
    </x:row>
    <x:row r="211">
      <x:c r="D211" s="125"/>
    </x:row>
    <x:row r="212">
      <x:c r="D212" s="125"/>
    </x:row>
    <x:row r="213">
      <x:c r="D213" s="125"/>
    </x:row>
    <x:row r="214">
      <x:c r="D214" s="125"/>
    </x:row>
    <x:row r="215">
      <x:c r="D215" s="125"/>
    </x:row>
    <x:row r="216">
      <x:c r="D216" s="125"/>
    </x:row>
    <x:row r="217">
      <x:c r="D217" s="125"/>
    </x:row>
    <x:row r="218">
      <x:c r="D218" s="125"/>
    </x:row>
    <x:row r="219">
      <x:c r="D219" s="125"/>
    </x:row>
    <x:row r="220">
      <x:c r="D220" s="125"/>
    </x:row>
    <x:row r="221">
      <x:c r="D221" s="125"/>
    </x:row>
    <x:row r="222">
      <x:c r="D222" s="125"/>
    </x:row>
    <x:row r="223">
      <x:c r="D223" s="125"/>
    </x:row>
    <x:row r="224">
      <x:c r="D224" s="125"/>
    </x:row>
    <x:row r="225">
      <x:c r="D225" s="125"/>
    </x:row>
    <x:row r="226">
      <x:c r="D226" s="125"/>
    </x:row>
    <x:row r="227">
      <x:c r="D227" s="125"/>
    </x:row>
    <x:row r="228">
      <x:c r="D228" s="125"/>
    </x:row>
    <x:row r="229">
      <x:c r="D229" s="125"/>
    </x:row>
    <x:row r="230">
      <x:c r="D230" s="125"/>
    </x:row>
    <x:row r="231">
      <x:c r="D231" s="125"/>
    </x:row>
    <x:row r="232">
      <x:c r="D232" s="125"/>
    </x:row>
    <x:row r="233">
      <x:c r="D233" s="125"/>
    </x:row>
    <x:row r="234">
      <x:c r="D234" s="125"/>
    </x:row>
    <x:row r="235">
      <x:c r="D235" s="125"/>
    </x:row>
    <x:row r="236">
      <x:c r="D236" s="125"/>
    </x:row>
    <x:row r="237">
      <x:c r="D237" s="125"/>
    </x:row>
    <x:row r="238">
      <x:c r="D238" s="125"/>
    </x:row>
    <x:row r="239">
      <x:c r="D239" s="125"/>
    </x:row>
    <x:row r="240">
      <x:c r="D240" s="125"/>
    </x:row>
    <x:row r="241">
      <x:c r="D241" s="125"/>
    </x:row>
    <x:row r="242">
      <x:c r="D242" s="125"/>
    </x:row>
    <x:row r="243">
      <x:c r="D243" s="125"/>
    </x:row>
    <x:row r="244">
      <x:c r="D244" s="125"/>
    </x:row>
    <x:row r="245">
      <x:c r="D245" s="125"/>
    </x:row>
    <x:row r="246">
      <x:c r="D246" s="125"/>
    </x:row>
    <x:row r="247">
      <x:c r="D247" s="125"/>
    </x:row>
    <x:row r="248">
      <x:c r="D248" s="125"/>
    </x:row>
    <x:row r="249">
      <x:c r="D249" s="125"/>
    </x:row>
    <x:row r="250">
      <x:c r="D250" s="125"/>
    </x:row>
    <x:row r="251">
      <x:c r="D251" s="125"/>
    </x:row>
    <x:row r="252">
      <x:c r="D252" s="125"/>
    </x:row>
    <x:row r="253">
      <x:c r="D253" s="125"/>
    </x:row>
    <x:row r="254">
      <x:c r="D254" s="125"/>
    </x:row>
    <x:row r="255">
      <x:c r="D255" s="125"/>
    </x:row>
    <x:row r="256">
      <x:c r="D256" s="125"/>
    </x:row>
    <x:row r="257">
      <x:c r="D257" s="125"/>
    </x:row>
    <x:row r="258">
      <x:c r="D258" s="125"/>
    </x:row>
    <x:row r="259">
      <x:c r="D259" s="125"/>
    </x:row>
    <x:row r="260">
      <x:c r="D260" s="125"/>
    </x:row>
    <x:row r="261">
      <x:c r="D261" s="125"/>
    </x:row>
    <x:row r="262">
      <x:c r="D262" s="125"/>
    </x:row>
    <x:row r="263">
      <x:c r="D263" s="125"/>
    </x:row>
    <x:row r="264">
      <x:c r="D264" s="125"/>
    </x:row>
    <x:row r="265">
      <x:c r="D265" s="125"/>
    </x:row>
    <x:row r="266">
      <x:c r="D266" s="125"/>
    </x:row>
    <x:row r="267">
      <x:c r="D267" s="125"/>
    </x:row>
    <x:row r="268">
      <x:c r="D268" s="125"/>
    </x:row>
    <x:row r="269">
      <x:c r="D269" s="125"/>
    </x:row>
    <x:row r="270">
      <x:c r="D270" s="125"/>
    </x:row>
    <x:row r="271">
      <x:c r="D271" s="125"/>
    </x:row>
    <x:row r="272">
      <x:c r="D272" s="125"/>
    </x:row>
    <x:row r="273">
      <x:c r="D273" s="125"/>
    </x:row>
    <x:row r="274">
      <x:c r="D274" s="125"/>
    </x:row>
    <x:row r="275">
      <x:c r="D275" s="125"/>
    </x:row>
    <x:row r="276">
      <x:c r="D276" s="125"/>
    </x:row>
    <x:row r="277">
      <x:c r="D277" s="125"/>
    </x:row>
    <x:row r="278">
      <x:c r="D278" s="125"/>
    </x:row>
    <x:row r="279">
      <x:c r="D279" s="125"/>
    </x:row>
    <x:row r="280">
      <x:c r="D280" s="125"/>
    </x:row>
    <x:row r="281">
      <x:c r="D281" s="125"/>
    </x:row>
    <x:row r="282">
      <x:c r="D282" s="125"/>
    </x:row>
    <x:row r="283">
      <x:c r="D283" s="125"/>
    </x:row>
    <x:row r="284">
      <x:c r="D284" s="125"/>
    </x:row>
    <x:row r="285">
      <x:c r="D285" s="125"/>
    </x:row>
    <x:row r="286">
      <x:c r="D286" s="125"/>
    </x:row>
    <x:row r="287">
      <x:c r="D287" s="125"/>
    </x:row>
    <x:row r="288">
      <x:c r="D288" s="125"/>
    </x:row>
    <x:row r="289">
      <x:c r="D289" s="125"/>
    </x:row>
    <x:row r="290">
      <x:c r="D290" s="125"/>
    </x:row>
    <x:row r="291">
      <x:c r="D291" s="125"/>
    </x:row>
    <x:row r="292">
      <x:c r="D292" s="125"/>
    </x:row>
    <x:row r="293">
      <x:c r="D293" s="125"/>
    </x:row>
    <x:row r="294">
      <x:c r="D294" s="125"/>
    </x:row>
    <x:row r="295">
      <x:c r="D295" s="125"/>
    </x:row>
    <x:row r="296">
      <x:c r="D296" s="125"/>
    </x:row>
    <x:row r="297">
      <x:c r="D297" s="125"/>
    </x:row>
    <x:row r="298">
      <x:c r="D298" s="125"/>
    </x:row>
    <x:row r="299">
      <x:c r="D299" s="125"/>
    </x:row>
    <x:row r="300">
      <x:c r="D300" s="125"/>
    </x:row>
    <x:row r="301">
      <x:c r="D301" s="125"/>
    </x:row>
    <x:row r="302">
      <x:c r="D302" s="125"/>
    </x:row>
    <x:row r="303">
      <x:c r="D303" s="125"/>
    </x:row>
    <x:row r="304">
      <x:c r="D304" s="125"/>
    </x:row>
    <x:row r="305">
      <x:c r="D305" s="125"/>
    </x:row>
    <x:row r="306">
      <x:c r="D306" s="125"/>
    </x:row>
    <x:row r="307">
      <x:c r="D307" s="125"/>
    </x:row>
    <x:row r="308">
      <x:c r="D308" s="125"/>
    </x:row>
    <x:row r="309">
      <x:c r="D309" s="125"/>
    </x:row>
    <x:row r="310">
      <x:c r="D310" s="125"/>
    </x:row>
    <x:row r="311">
      <x:c r="D311" s="125"/>
    </x:row>
    <x:row r="312">
      <x:c r="D312" s="125"/>
    </x:row>
    <x:row r="313">
      <x:c r="D313" s="125"/>
    </x:row>
    <x:row r="314">
      <x:c r="D314" s="125"/>
    </x:row>
    <x:row r="315">
      <x:c r="D315" s="125"/>
    </x:row>
    <x:row r="316">
      <x:c r="D316" s="125"/>
    </x:row>
    <x:row r="317">
      <x:c r="D317" s="125"/>
    </x:row>
    <x:row r="318">
      <x:c r="D318" s="125"/>
    </x:row>
    <x:row r="319">
      <x:c r="D319" s="125"/>
    </x:row>
    <x:row r="320">
      <x:c r="D320" s="125"/>
    </x:row>
    <x:row r="321">
      <x:c r="D321" s="125"/>
    </x:row>
    <x:row r="322">
      <x:c r="D322" s="125"/>
    </x:row>
    <x:row r="323">
      <x:c r="D323" s="125"/>
    </x:row>
    <x:row r="324">
      <x:c r="D324" s="125"/>
    </x:row>
    <x:row r="325">
      <x:c r="D325" s="125"/>
    </x:row>
    <x:row r="326">
      <x:c r="D326" s="125"/>
    </x:row>
    <x:row r="327">
      <x:c r="D327" s="125"/>
    </x:row>
    <x:row r="328">
      <x:c r="D328" s="125"/>
    </x:row>
    <x:row r="329">
      <x:c r="D329" s="125"/>
    </x:row>
    <x:row r="330">
      <x:c r="D330" s="125"/>
    </x:row>
    <x:row r="331">
      <x:c r="D331" s="125"/>
    </x:row>
    <x:row r="332">
      <x:c r="D332" s="125"/>
    </x:row>
    <x:row r="333">
      <x:c r="D333" s="125"/>
    </x:row>
    <x:row r="334">
      <x:c r="D334" s="125"/>
    </x:row>
    <x:row r="335">
      <x:c r="D335" s="125"/>
    </x:row>
    <x:row r="336">
      <x:c r="D336" s="125"/>
    </x:row>
    <x:row r="337">
      <x:c r="D337" s="125"/>
    </x:row>
    <x:row r="338">
      <x:c r="D338" s="125"/>
    </x:row>
    <x:row r="339">
      <x:c r="D339" s="125"/>
    </x:row>
    <x:row r="340">
      <x:c r="D340" s="125"/>
    </x:row>
    <x:row r="341">
      <x:c r="D341" s="125"/>
    </x:row>
    <x:row r="342">
      <x:c r="D342" s="125"/>
    </x:row>
    <x:row r="343">
      <x:c r="D343" s="125"/>
    </x:row>
    <x:row r="344">
      <x:c r="D344" s="125"/>
    </x:row>
    <x:row r="345">
      <x:c r="D345" s="125"/>
    </x:row>
    <x:row r="346">
      <x:c r="D346" s="125"/>
    </x:row>
    <x:row r="347">
      <x:c r="D347" s="125"/>
    </x:row>
    <x:row r="348">
      <x:c r="D348" s="125"/>
    </x:row>
    <x:row r="349">
      <x:c r="D349" s="125"/>
    </x:row>
    <x:row r="350">
      <x:c r="D350" s="125"/>
    </x:row>
    <x:row r="351">
      <x:c r="D351" s="125"/>
    </x:row>
    <x:row r="352">
      <x:c r="D352" s="125"/>
    </x:row>
    <x:row r="353">
      <x:c r="D353" s="125"/>
    </x:row>
    <x:row r="354">
      <x:c r="D354" s="125"/>
    </x:row>
    <x:row r="355">
      <x:c r="D355" s="125"/>
    </x:row>
    <x:row r="356">
      <x:c r="D356" s="125"/>
    </x:row>
    <x:row r="357">
      <x:c r="D357" s="125"/>
    </x:row>
    <x:row r="358">
      <x:c r="D358" s="125"/>
    </x:row>
    <x:row r="359">
      <x:c r="D359" s="125"/>
    </x:row>
    <x:row r="360">
      <x:c r="D360" s="125"/>
    </x:row>
    <x:row r="361">
      <x:c r="D361" s="125"/>
    </x:row>
    <x:row r="362">
      <x:c r="D362" s="125"/>
    </x:row>
    <x:row r="363">
      <x:c r="D363" s="125"/>
    </x:row>
    <x:row r="364">
      <x:c r="D364" s="125"/>
    </x:row>
    <x:row r="365">
      <x:c r="D365" s="125"/>
    </x:row>
    <x:row r="366">
      <x:c r="D366" s="125"/>
    </x:row>
    <x:row r="367">
      <x:c r="D367" s="125"/>
    </x:row>
    <x:row r="368">
      <x:c r="D368" s="125"/>
    </x:row>
    <x:row r="369">
      <x:c r="D369" s="125"/>
    </x:row>
    <x:row r="370">
      <x:c r="D370" s="125"/>
    </x:row>
    <x:row r="371">
      <x:c r="D371" s="125"/>
    </x:row>
    <x:row r="372">
      <x:c r="D372" s="125"/>
    </x:row>
    <x:row r="373">
      <x:c r="D373" s="125"/>
    </x:row>
    <x:row r="374">
      <x:c r="D374" s="125"/>
    </x:row>
    <x:row r="375">
      <x:c r="D375" s="125"/>
    </x:row>
    <x:row r="376">
      <x:c r="D376" s="125"/>
    </x:row>
    <x:row r="377">
      <x:c r="D377" s="125"/>
    </x:row>
    <x:row r="378">
      <x:c r="D378" s="125"/>
    </x:row>
    <x:row r="379">
      <x:c r="D379" s="125"/>
    </x:row>
    <x:row r="380">
      <x:c r="D380" s="125"/>
    </x:row>
    <x:row r="381">
      <x:c r="D381" s="125"/>
    </x:row>
    <x:row r="382">
      <x:c r="D382" s="125"/>
    </x:row>
    <x:row r="383">
      <x:c r="D383" s="125"/>
    </x:row>
    <x:row r="384">
      <x:c r="D384" s="125"/>
    </x:row>
    <x:row r="385">
      <x:c r="D385" s="125"/>
    </x:row>
    <x:row r="386">
      <x:c r="D386" s="125"/>
    </x:row>
    <x:row r="387">
      <x:c r="D387" s="125"/>
    </x:row>
    <x:row r="388">
      <x:c r="D388" s="125"/>
    </x:row>
    <x:row r="389">
      <x:c r="D389" s="125"/>
    </x:row>
    <x:row r="390">
      <x:c r="D390" s="125"/>
    </x:row>
    <x:row r="391">
      <x:c r="D391" s="125"/>
    </x:row>
    <x:row r="392">
      <x:c r="D392" s="125"/>
    </x:row>
    <x:row r="393">
      <x:c r="D393" s="125"/>
    </x:row>
    <x:row r="394">
      <x:c r="D394" s="125"/>
    </x:row>
    <x:row r="395">
      <x:c r="D395" s="125"/>
    </x:row>
    <x:row r="396">
      <x:c r="D396" s="125"/>
    </x:row>
    <x:row r="397">
      <x:c r="D397" s="125"/>
    </x:row>
    <x:row r="398">
      <x:c r="D398" s="125"/>
    </x:row>
    <x:row r="399">
      <x:c r="D399" s="125"/>
    </x:row>
    <x:row r="400">
      <x:c r="D400" s="125"/>
    </x:row>
    <x:row r="401">
      <x:c r="D401" s="125"/>
    </x:row>
    <x:row r="402">
      <x:c r="D402" s="125"/>
    </x:row>
    <x:row r="403">
      <x:c r="D403" s="125"/>
    </x:row>
    <x:row r="404">
      <x:c r="D404" s="125"/>
    </x:row>
    <x:row r="405">
      <x:c r="D405" s="125"/>
    </x:row>
    <x:row r="406">
      <x:c r="D406" s="125"/>
    </x:row>
    <x:row r="407">
      <x:c r="D407" s="125"/>
    </x:row>
    <x:row r="408">
      <x:c r="D408" s="125"/>
    </x:row>
    <x:row r="409">
      <x:c r="D409" s="125"/>
    </x:row>
    <x:row r="410">
      <x:c r="D410" s="125"/>
    </x:row>
    <x:row r="411">
      <x:c r="D411" s="125"/>
    </x:row>
    <x:row r="412">
      <x:c r="D412" s="125"/>
    </x:row>
    <x:row r="413">
      <x:c r="D413" s="125"/>
    </x:row>
    <x:row r="414">
      <x:c r="D414" s="125"/>
    </x:row>
    <x:row r="415">
      <x:c r="D415" s="125"/>
    </x:row>
    <x:row r="416">
      <x:c r="D416" s="125"/>
    </x:row>
    <x:row r="417">
      <x:c r="D417" s="125"/>
    </x:row>
    <x:row r="418">
      <x:c r="D418" s="125"/>
    </x:row>
    <x:row r="419">
      <x:c r="D419" s="125"/>
    </x:row>
    <x:row r="420">
      <x:c r="D420" s="125"/>
    </x:row>
    <x:row r="421">
      <x:c r="D421" s="125"/>
    </x:row>
    <x:row r="422">
      <x:c r="D422" s="125"/>
    </x:row>
    <x:row r="423">
      <x:c r="D423" s="125"/>
    </x:row>
    <x:row r="424">
      <x:c r="D424" s="125"/>
    </x:row>
    <x:row r="425">
      <x:c r="D425" s="125"/>
    </x:row>
    <x:row r="426">
      <x:c r="D426" s="125"/>
    </x:row>
    <x:row r="427">
      <x:c r="D427" s="125"/>
    </x:row>
    <x:row r="428">
      <x:c r="D428" s="125"/>
    </x:row>
    <x:row r="429">
      <x:c r="D429" s="125"/>
    </x:row>
    <x:row r="430">
      <x:c r="D430" s="125"/>
    </x:row>
    <x:row r="431">
      <x:c r="D431" s="125"/>
    </x:row>
    <x:row r="432">
      <x:c r="D432" s="125"/>
    </x:row>
    <x:row r="433">
      <x:c r="D433" s="125"/>
    </x:row>
    <x:row r="434">
      <x:c r="D434" s="125"/>
    </x:row>
    <x:row r="435">
      <x:c r="D435" s="125"/>
    </x:row>
    <x:row r="436">
      <x:c r="D436" s="125"/>
    </x:row>
    <x:row r="437">
      <x:c r="D437" s="125"/>
    </x:row>
    <x:row r="438">
      <x:c r="D438" s="125"/>
    </x:row>
    <x:row r="439">
      <x:c r="D439" s="125"/>
    </x:row>
    <x:row r="440">
      <x:c r="D440" s="125"/>
    </x:row>
    <x:row r="441">
      <x:c r="D441" s="125"/>
    </x:row>
    <x:row r="442">
      <x:c r="D442" s="125"/>
    </x:row>
    <x:row r="443">
      <x:c r="D443" s="125"/>
    </x:row>
    <x:row r="444">
      <x:c r="D444" s="125"/>
    </x:row>
    <x:row r="445">
      <x:c r="D445" s="125"/>
    </x:row>
    <x:row r="446">
      <x:c r="D446" s="125"/>
    </x:row>
    <x:row r="447">
      <x:c r="D447" s="125"/>
    </x:row>
    <x:row r="448">
      <x:c r="D448" s="125"/>
    </x:row>
    <x:row r="449">
      <x:c r="D449" s="125"/>
    </x:row>
    <x:row r="450">
      <x:c r="D450" s="125"/>
    </x:row>
    <x:row r="451">
      <x:c r="D451" s="125"/>
    </x:row>
    <x:row r="452">
      <x:c r="D452" s="125"/>
    </x:row>
    <x:row r="453">
      <x:c r="D453" s="125"/>
    </x:row>
    <x:row r="454">
      <x:c r="D454" s="125"/>
    </x:row>
    <x:row r="455">
      <x:c r="D455" s="125"/>
    </x:row>
    <x:row r="456">
      <x:c r="D456" s="125"/>
    </x:row>
    <x:row r="457">
      <x:c r="D457" s="125"/>
    </x:row>
    <x:row r="458">
      <x:c r="D458" s="125"/>
    </x:row>
    <x:row r="459">
      <x:c r="D459" s="125"/>
    </x:row>
    <x:row r="460">
      <x:c r="D460" s="125"/>
    </x:row>
    <x:row r="461">
      <x:c r="D461" s="125"/>
    </x:row>
    <x:row r="462">
      <x:c r="D462" s="125"/>
    </x:row>
    <x:row r="463">
      <x:c r="D463" s="125"/>
    </x:row>
    <x:row r="464">
      <x:c r="D464" s="125"/>
    </x:row>
    <x:row r="465">
      <x:c r="D465" s="125"/>
    </x:row>
    <x:row r="466">
      <x:c r="D466" s="125"/>
    </x:row>
    <x:row r="467">
      <x:c r="D467" s="125"/>
    </x:row>
    <x:row r="468">
      <x:c r="D468" s="125"/>
    </x:row>
    <x:row r="469">
      <x:c r="D469" s="125"/>
    </x:row>
    <x:row r="470">
      <x:c r="D470" s="125"/>
    </x:row>
    <x:row r="471">
      <x:c r="D471" s="125"/>
    </x:row>
    <x:row r="472">
      <x:c r="D472" s="125"/>
    </x:row>
    <x:row r="473">
      <x:c r="D473" s="125"/>
    </x:row>
    <x:row r="474">
      <x:c r="D474" s="125"/>
    </x:row>
    <x:row r="475">
      <x:c r="D475" s="125"/>
    </x:row>
    <x:row r="476">
      <x:c r="D476" s="125"/>
    </x:row>
    <x:row r="477">
      <x:c r="D477" s="125"/>
    </x:row>
    <x:row r="478">
      <x:c r="D478" s="125"/>
    </x:row>
    <x:row r="479">
      <x:c r="D479" s="125"/>
    </x:row>
    <x:row r="480">
      <x:c r="D480" s="125"/>
    </x:row>
    <x:row r="481">
      <x:c r="D481" s="125"/>
    </x:row>
    <x:row r="482">
      <x:c r="D482" s="125"/>
    </x:row>
    <x:row r="483">
      <x:c r="D483" s="125"/>
    </x:row>
    <x:row r="484">
      <x:c r="D484" s="125"/>
    </x:row>
    <x:row r="485">
      <x:c r="D485" s="125"/>
    </x:row>
    <x:row r="486">
      <x:c r="D486" s="125"/>
    </x:row>
    <x:row r="487">
      <x:c r="D487" s="125"/>
    </x:row>
    <x:row r="488">
      <x:c r="D488" s="125"/>
    </x:row>
    <x:row r="489">
      <x:c r="D489" s="125"/>
    </x:row>
    <x:row r="490">
      <x:c r="D490" s="125"/>
    </x:row>
    <x:row r="491">
      <x:c r="D491" s="125"/>
    </x:row>
    <x:row r="492">
      <x:c r="D492" s="125"/>
    </x:row>
    <x:row r="493">
      <x:c r="D493" s="125"/>
    </x:row>
    <x:row r="494">
      <x:c r="D494" s="125"/>
    </x:row>
    <x:row r="495">
      <x:c r="D495" s="125"/>
    </x:row>
    <x:row r="496">
      <x:c r="D496" s="125"/>
    </x:row>
    <x:row r="497">
      <x:c r="D497" s="125"/>
    </x:row>
    <x:row r="498">
      <x:c r="D498" s="125"/>
    </x:row>
    <x:row r="499">
      <x:c r="D499" s="125"/>
    </x:row>
    <x:row r="500">
      <x:c r="D500" s="125"/>
    </x:row>
  </x:sheetData>
  <x:mergeCells>
    <x:mergeCell ref="A1:J1"/>
  </x:mergeCells>
  <x:dataValidations count="3">
    <x:dataValidation type="list" sqref="C4:C500">
      <x:formula1>"Semeadura,Condução,Colheita"</x:formula1>
    </x:dataValidation>
    <x:dataValidation type="list" sqref="E4:E500">
      <x:formula1>"Planejado,Concluído,Atrasado,Cancelado"</x:formula1>
    </x:dataValidation>
    <x:dataValidation type="whole" operator="between" sqref="G4:G500">
      <x:formula1>1</x:formula1>
      <x:formula2>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52" hidden="0" customWidth="1"/>
    <x:col min="5" max="5" width="12" hidden="0" customWidth="1"/>
  </x:cols>
  <x:sheetData>
    <x:row r="1" ht="30" customHeight="1">
      <x:c r="A1" s="112" t="str">
        <x:v>Regras administráveis</x:v>
      </x:c>
    </x:row>
    <x:row r="3" ht="27" customHeight="1">
      <x:c r="A3" s="116" t="str">
        <x:v>chave</x:v>
      </x:c>
      <x:c r="B3" s="117" t="str">
        <x:v>valor</x:v>
      </x:c>
      <x:c r="C3" s="117" t="str">
        <x:v>unidade</x:v>
      </x:c>
      <x:c r="D3" s="117" t="str">
        <x:v>descricao</x:v>
      </x:c>
      <x:c r="E3" s="118" t="str">
        <x:v>ativo</x:v>
      </x:c>
    </x:row>
    <x:row r="4" ht="24" customHeight="1">
      <x:c r="A4" s="126" t="str">
        <x:v>limite_qualidade_alerta</x:v>
      </x:c>
      <x:c r="B4" s="126" t="n">
        <x:v>70</x:v>
      </x:c>
      <x:c r="C4" s="126" t="str">
        <x:v>pontos</x:v>
      </x:c>
      <x:c r="D4" s="126" t="str">
        <x:v>Qualidade abaixo deste valor gera alerta</x:v>
      </x:c>
      <x:c r="E4" s="127" t="b">
        <x:v>1</x:v>
      </x:c>
    </x:row>
    <x:row r="5" ht="24" customHeight="1">
      <x:c r="A5" s="128" t="str">
        <x:v>pressao_daninhas_alerta</x:v>
      </x:c>
      <x:c r="B5" s="128" t="n">
        <x:v>3</x:v>
      </x:c>
      <x:c r="C5" s="128" t="str">
        <x:v>nível</x:v>
      </x:c>
      <x:c r="D5" s="128" t="str">
        <x:v>Abre pendência para a visita seguinte</x:v>
      </x:c>
      <x:c r="E5" s="129" t="b">
        <x:v>1</x:v>
      </x:c>
    </x:row>
    <x:row r="6" ht="24" customHeight="1">
      <x:c r="A6" s="130" t="str">
        <x:v>prazo_revisita_dias</x:v>
      </x:c>
      <x:c r="B6" s="130" t="n">
        <x:v>7</x:v>
      </x:c>
      <x:c r="C6" s="130" t="str">
        <x:v>dias</x:v>
      </x:c>
      <x:c r="D6" s="130" t="str">
        <x:v>Prazo para verificar solução do alerta</x:v>
      </x:c>
      <x:c r="E6" s="131" t="b">
        <x:v>1</x:v>
      </x:c>
    </x:row>
  </x:sheetData>
  <x:mergeCells>
    <x:mergeCell ref="A1:E1"/>
  </x:mergeCells>
  <x:dataValidations count="1">
    <x:dataValidation type="list" sqref="E4:E200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14" hidden="0" customWidth="1"/>
    <x:col min="5" max="5" width="24" hidden="0" customWidth="1"/>
  </x:cols>
  <x:sheetData>
    <x:row r="1" ht="30" customHeight="1">
      <x:c r="A1" s="112" t="str">
        <x:v>Componentes da média ponderada</x:v>
      </x:c>
    </x:row>
    <x:row r="2">
      <x:c r="G2" s="132" t="str">
        <x:v>Total dos pesos</x:v>
      </x:c>
    </x:row>
    <x:row r="3" ht="27" customHeight="1">
      <x:c r="A3" s="116" t="str">
        <x:v>variavel</x:v>
      </x:c>
      <x:c r="B3" s="117" t="str">
        <x:v>peso_percentual</x:v>
      </x:c>
      <x:c r="C3" s="117" t="str">
        <x:v>escala_min</x:v>
      </x:c>
      <x:c r="D3" s="117" t="str">
        <x:v>escala_max</x:v>
      </x:c>
      <x:c r="E3" s="118" t="str">
        <x:v>orientacao</x:v>
      </x:c>
      <x:c r="G3" s="133" t="n">
        <x:f>SUM(B4:B8)</x:f>
        <x:v>100</x:v>
      </x:c>
    </x:row>
    <x:row r="4" ht="24" customHeight="1">
      <x:c r="A4" s="126" t="str">
        <x:v>Estabelecimento da cultura</x:v>
      </x:c>
      <x:c r="B4" s="126" t="n">
        <x:v>30</x:v>
      </x:c>
      <x:c r="C4" s="126" t="n">
        <x:v>1</x:v>
      </x:c>
      <x:c r="D4" s="126" t="n">
        <x:v>5</x:v>
      </x:c>
      <x:c r="E4" s="126" t="str">
        <x:v>Maior é melhor</x:v>
      </x:c>
    </x:row>
    <x:row r="5" ht="24" customHeight="1">
      <x:c r="A5" s="128" t="str">
        <x:v>Presença de falhas</x:v>
      </x:c>
      <x:c r="B5" s="128" t="n">
        <x:v>25</x:v>
      </x:c>
      <x:c r="C5" s="128" t="n">
        <x:v>1</x:v>
      </x:c>
      <x:c r="D5" s="128" t="n">
        <x:v>5</x:v>
      </x:c>
      <x:c r="E5" s="128" t="str">
        <x:v>Menor é melhor</x:v>
      </x:c>
    </x:row>
    <x:row r="6" ht="24" customHeight="1">
      <x:c r="A6" s="128" t="str">
        <x:v>Pressão de plantas daninhas</x:v>
      </x:c>
      <x:c r="B6" s="128" t="n">
        <x:v>20</x:v>
      </x:c>
      <x:c r="C6" s="128" t="n">
        <x:v>1</x:v>
      </x:c>
      <x:c r="D6" s="128" t="n">
        <x:v>5</x:v>
      </x:c>
      <x:c r="E6" s="128" t="str">
        <x:v>Menor é melhor</x:v>
      </x:c>
    </x:row>
    <x:row r="7" ht="24" customHeight="1">
      <x:c r="A7" s="128" t="str">
        <x:v>Severidade de doenças</x:v>
      </x:c>
      <x:c r="B7" s="128" t="n">
        <x:v>15</x:v>
      </x:c>
      <x:c r="C7" s="128" t="n">
        <x:v>1</x:v>
      </x:c>
      <x:c r="D7" s="128" t="n">
        <x:v>5</x:v>
      </x:c>
      <x:c r="E7" s="128" t="str">
        <x:v>Menor é melhor</x:v>
      </x:c>
    </x:row>
    <x:row r="8" ht="24" customHeight="1">
      <x:c r="A8" s="130" t="str">
        <x:v>Uniformidade do ensaio</x:v>
      </x:c>
      <x:c r="B8" s="130" t="n">
        <x:v>10</x:v>
      </x:c>
      <x:c r="C8" s="130" t="n">
        <x:v>1</x:v>
      </x:c>
      <x:c r="D8" s="130" t="n">
        <x:v>5</x:v>
      </x:c>
      <x:c r="E8" s="130" t="str">
        <x:v>Maior é melhor</x:v>
      </x:c>
    </x:row>
  </x:sheetData>
  <x:mergeCells>
    <x:mergeCell ref="A1:E1"/>
  </x:mergeCells>
  <x:dataValidations count="1">
    <x:dataValidation type="whole" operator="between" sqref="B4:B200">
      <x:formula1>0</x:formula1>
      <x:formula2>100</x:formula2>
    </x:dataValidation>
  </x:dataValidation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065E0AD0451D4CAD18DD6507023FB4" ma:contentTypeVersion="17" ma:contentTypeDescription="Crie um novo documento." ma:contentTypeScope="" ma:versionID="568da16f4d725b64630af53457a19b8d">
  <xsd:schema xmlns:xsd="http://www.w3.org/2001/XMLSchema" xmlns:xs="http://www.w3.org/2001/XMLSchema" xmlns:p="http://schemas.microsoft.com/office/2006/metadata/properties" xmlns:ns2="0cdf2f5f-3e39-481d-a64d-dbf1659ce652" xmlns:ns3="a88aa52d-1f3f-4e41-9bb4-d474764d9545" targetNamespace="http://schemas.microsoft.com/office/2006/metadata/properties" ma:root="true" ma:fieldsID="2fc2e6a2b3f3de3be3dcf5a8bea2942b" ns2:_="" ns3:_="">
    <xsd:import namespace="0cdf2f5f-3e39-481d-a64d-dbf1659ce652"/>
    <xsd:import namespace="a88aa52d-1f3f-4e41-9bb4-d474764d95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f2f5f-3e39-481d-a64d-dbf1659ce6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9ad2403b-77de-45cb-88e2-7bf461327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aa52d-1f3f-4e41-9bb4-d474764d954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62f004a-79c4-4595-9029-a3a378cab006}" ma:internalName="TaxCatchAll" ma:showField="CatchAllData" ma:web="a88aa52d-1f3f-4e41-9bb4-d474764d95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8aa52d-1f3f-4e41-9bb4-d474764d9545" xsi:nil="true"/>
    <lcf76f155ced4ddcb4097134ff3c332f xmlns="0cdf2f5f-3e39-481d-a64d-dbf1659ce6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E83440-6F65-475B-8FA8-D95563785A97}"/>
</file>

<file path=customXml/itemProps2.xml><?xml version="1.0" encoding="utf-8"?>
<ds:datastoreItem xmlns:ds="http://schemas.openxmlformats.org/officeDocument/2006/customXml" ds:itemID="{42C817CD-B51B-475B-90D7-58BF44AF62BA}"/>
</file>

<file path=customXml/itemProps3.xml><?xml version="1.0" encoding="utf-8"?>
<ds:datastoreItem xmlns:ds="http://schemas.openxmlformats.org/officeDocument/2006/customXml" ds:itemID="{6CC7C319-738B-451B-8DE0-A7596FF4B1F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0x010100D0065E0AD0451D4CAD18DD6507023FB4</vt:lpwstr>
  </property>
</Properties>
</file>